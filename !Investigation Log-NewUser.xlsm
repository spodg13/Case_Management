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Investigations\ICMS\"/>
    </mc:Choice>
  </mc:AlternateContent>
  <bookViews>
    <workbookView xWindow="480" yWindow="375" windowWidth="18195" windowHeight="11520" tabRatio="602"/>
  </bookViews>
  <sheets>
    <sheet name="InvestigationLog" sheetId="1" r:id="rId1"/>
    <sheet name="CaseLogs" sheetId="2" r:id="rId2"/>
    <sheet name="WitnessLog" sheetId="3" r:id="rId3"/>
    <sheet name="IOD" sheetId="13" r:id="rId4"/>
    <sheet name="MileageLog" sheetId="10" r:id="rId5"/>
    <sheet name="Attorneys" sheetId="15" state="hidden" r:id="rId6"/>
    <sheet name="Holidays" sheetId="14" state="hidden" r:id="rId7"/>
    <sheet name="Subpoena Service" sheetId="4" r:id="rId8"/>
    <sheet name="Files" sheetId="16" state="hidden" r:id="rId9"/>
    <sheet name="Spelling" sheetId="17" state="hidden" r:id="rId10"/>
  </sheets>
  <functionGroups builtInGroupCount="18"/>
  <definedNames>
    <definedName name="_xlnm._FilterDatabase" localSheetId="1" hidden="1">CaseLogs!$A$3:$E$3</definedName>
    <definedName name="_xlnm._FilterDatabase" localSheetId="3" hidden="1">IOD!$A$1:$C$2</definedName>
    <definedName name="_xlnm._FilterDatabase" localSheetId="2" hidden="1">WitnessLog!$A$1:$H$1</definedName>
    <definedName name="CaseLogTable">Table2[]</definedName>
    <definedName name="Cases">OFFSET(InvestigationLog!$A$2,1,0,COUNTA(InvestigationLog!$A:$A)-1,1)</definedName>
    <definedName name="Clients">OFFSET(InvestigationLog!$C$2,1,0,COUNTA(InvestigationLog!$C:$C)-1,1)</definedName>
    <definedName name="InvestigationLog">Investigation_Log[]</definedName>
    <definedName name="_xlnm.Print_Area" localSheetId="1">CaseLogs!$B$5:$D$5</definedName>
    <definedName name="_xlnm.Print_Area" localSheetId="9">Spelling!$B$7:$D$156</definedName>
    <definedName name="_xlnm.Print_Area" localSheetId="2">WitnessLog!$B$1:$H$1</definedName>
    <definedName name="_xlnm.Print_Titles" localSheetId="1">CaseLogs!$3:$3</definedName>
    <definedName name="_xlnm.Print_Titles" localSheetId="9">Spelling!$6:$6</definedName>
    <definedName name="_xlnm.Print_Titles" localSheetId="2">WitnessLog!$1:$1</definedName>
  </definedNames>
  <calcPr calcId="162913"/>
</workbook>
</file>

<file path=xl/calcChain.xml><?xml version="1.0" encoding="utf-8"?>
<calcChain xmlns="http://schemas.openxmlformats.org/spreadsheetml/2006/main">
  <c r="E1" i="1" l="1"/>
  <c r="F5" i="2"/>
  <c r="F4" i="2"/>
  <c r="B110" i="15"/>
  <c r="C110" i="15"/>
  <c r="B62" i="15"/>
  <c r="C62" i="15"/>
  <c r="B95" i="15"/>
  <c r="C95" i="15"/>
  <c r="B26" i="15"/>
  <c r="C26" i="15"/>
  <c r="F2" i="10"/>
  <c r="B105" i="15"/>
  <c r="B106" i="15"/>
  <c r="B107" i="15"/>
  <c r="B108" i="15"/>
  <c r="B109" i="15"/>
  <c r="B111" i="15"/>
  <c r="B112" i="15"/>
  <c r="B113" i="15"/>
  <c r="B114" i="15"/>
  <c r="B115" i="15"/>
  <c r="B116" i="15"/>
  <c r="C105" i="15"/>
  <c r="C106" i="15"/>
  <c r="C107" i="15"/>
  <c r="C108" i="15"/>
  <c r="C109" i="15"/>
  <c r="C111" i="15"/>
  <c r="C112" i="15"/>
  <c r="C113" i="15"/>
  <c r="C114" i="15"/>
  <c r="C115" i="15"/>
  <c r="C116" i="15"/>
  <c r="C55" i="15"/>
  <c r="B55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6" i="15"/>
  <c r="B57" i="15"/>
  <c r="B58" i="15"/>
  <c r="B59" i="15"/>
  <c r="B60" i="15"/>
  <c r="B61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6" i="15"/>
  <c r="B97" i="15"/>
  <c r="B98" i="15"/>
  <c r="B99" i="15"/>
  <c r="B100" i="15"/>
  <c r="B101" i="15"/>
  <c r="B102" i="15"/>
  <c r="B103" i="15"/>
  <c r="B104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6" i="15"/>
  <c r="C57" i="15"/>
  <c r="C58" i="15"/>
  <c r="C59" i="15"/>
  <c r="C60" i="15"/>
  <c r="C61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6" i="15"/>
  <c r="C97" i="15"/>
  <c r="C98" i="15"/>
  <c r="C99" i="15"/>
  <c r="C100" i="15"/>
  <c r="C101" i="15"/>
  <c r="C102" i="15"/>
  <c r="C103" i="15"/>
  <c r="C104" i="15"/>
  <c r="B25" i="15"/>
  <c r="C25" i="15"/>
  <c r="B35" i="15"/>
  <c r="C35" i="15"/>
  <c r="B39" i="15"/>
  <c r="C39" i="15"/>
  <c r="B37" i="15"/>
  <c r="C37" i="15"/>
  <c r="B29" i="15"/>
  <c r="C29" i="15"/>
  <c r="C31" i="15"/>
  <c r="B31" i="15"/>
  <c r="B3" i="15"/>
  <c r="C3" i="15"/>
  <c r="B9" i="15"/>
  <c r="C9" i="15"/>
  <c r="B5" i="15"/>
  <c r="C5" i="15"/>
  <c r="B7" i="15"/>
  <c r="C7" i="15"/>
  <c r="B11" i="15"/>
  <c r="C11" i="15"/>
  <c r="B15" i="15"/>
  <c r="C15" i="15"/>
  <c r="B14" i="15"/>
  <c r="C14" i="15"/>
  <c r="B34" i="15"/>
  <c r="C34" i="15"/>
  <c r="B36" i="15"/>
  <c r="C36" i="15"/>
  <c r="B2" i="15"/>
  <c r="C2" i="15"/>
  <c r="B17" i="15"/>
  <c r="C17" i="15"/>
  <c r="B20" i="15"/>
  <c r="C20" i="15"/>
  <c r="C28" i="15"/>
  <c r="B28" i="15"/>
  <c r="C38" i="15"/>
  <c r="B38" i="15"/>
  <c r="C33" i="15"/>
  <c r="B33" i="15"/>
  <c r="C32" i="15"/>
  <c r="B32" i="15"/>
  <c r="C30" i="15"/>
  <c r="B30" i="15"/>
  <c r="C27" i="15"/>
  <c r="B27" i="15"/>
  <c r="C24" i="15"/>
  <c r="B24" i="15"/>
  <c r="C23" i="15"/>
  <c r="B23" i="15"/>
  <c r="C22" i="15"/>
  <c r="B22" i="15"/>
  <c r="C21" i="15"/>
  <c r="B21" i="15"/>
  <c r="C19" i="15"/>
  <c r="B19" i="15"/>
  <c r="C18" i="15"/>
  <c r="B18" i="15"/>
  <c r="C16" i="15"/>
  <c r="B16" i="15"/>
  <c r="C13" i="15"/>
  <c r="B13" i="15"/>
  <c r="C12" i="15"/>
  <c r="B12" i="15"/>
  <c r="C10" i="15"/>
  <c r="B10" i="15"/>
  <c r="C8" i="15"/>
  <c r="B8" i="15"/>
  <c r="C6" i="15"/>
  <c r="B6" i="15"/>
  <c r="C4" i="15"/>
  <c r="B4" i="15"/>
  <c r="C1" i="14"/>
  <c r="C7" i="14" s="1"/>
  <c r="C2" i="14" l="1"/>
  <c r="C12" i="14"/>
  <c r="C14" i="14"/>
  <c r="C4" i="14"/>
  <c r="C6" i="14"/>
  <c r="C11" i="14"/>
  <c r="C9" i="14"/>
  <c r="C3" i="14"/>
  <c r="C13" i="14"/>
  <c r="C10" i="14"/>
  <c r="C8" i="14"/>
  <c r="C5" i="14"/>
</calcChain>
</file>

<file path=xl/sharedStrings.xml><?xml version="1.0" encoding="utf-8"?>
<sst xmlns="http://schemas.openxmlformats.org/spreadsheetml/2006/main" count="499" uniqueCount="462">
  <si>
    <t>DATE RECEIVED</t>
  </si>
  <si>
    <t>DEFENDANT’S NAME</t>
  </si>
  <si>
    <t>ASSIGNED WORK</t>
  </si>
  <si>
    <t>CASE NUMBER</t>
  </si>
  <si>
    <t>DEFENDANT’S X-REF NO.</t>
  </si>
  <si>
    <t>RE-OPEN</t>
  </si>
  <si>
    <t>Column4</t>
  </si>
  <si>
    <t>Column7</t>
  </si>
  <si>
    <t>Column8</t>
  </si>
  <si>
    <t>Column23</t>
  </si>
  <si>
    <t>Column24</t>
  </si>
  <si>
    <t>Column25</t>
  </si>
  <si>
    <t>Column26</t>
  </si>
  <si>
    <t>Action Log</t>
  </si>
  <si>
    <t>Yes</t>
  </si>
  <si>
    <t>Charges</t>
  </si>
  <si>
    <t>Old Due Date</t>
  </si>
  <si>
    <t>Interviews completed</t>
  </si>
  <si>
    <t>Column1</t>
  </si>
  <si>
    <t>Case</t>
  </si>
  <si>
    <t>Date</t>
  </si>
  <si>
    <t>Time</t>
  </si>
  <si>
    <t>Type</t>
  </si>
  <si>
    <t>Name</t>
  </si>
  <si>
    <t>DOB</t>
  </si>
  <si>
    <t>Address</t>
  </si>
  <si>
    <t>Telephone</t>
  </si>
  <si>
    <t>TI</t>
  </si>
  <si>
    <t>PI</t>
  </si>
  <si>
    <t>Version</t>
  </si>
  <si>
    <t>Action</t>
  </si>
  <si>
    <t>Duration</t>
  </si>
  <si>
    <t>Client</t>
  </si>
  <si>
    <t>Subpoena Service</t>
  </si>
  <si>
    <t>Sac PD</t>
  </si>
  <si>
    <t>916-874-6620</t>
  </si>
  <si>
    <t>Fax</t>
  </si>
  <si>
    <t>Main</t>
  </si>
  <si>
    <t>916-727-4970</t>
  </si>
  <si>
    <t>916-727-4793</t>
  </si>
  <si>
    <t>Method</t>
  </si>
  <si>
    <t>Citrus Heights PD</t>
  </si>
  <si>
    <t>SSD</t>
  </si>
  <si>
    <t>CHP South</t>
  </si>
  <si>
    <t>Case Number</t>
  </si>
  <si>
    <t>Galt PD</t>
  </si>
  <si>
    <t>209-366-7012</t>
  </si>
  <si>
    <t>CDC Old Folsom</t>
  </si>
  <si>
    <t>April Howard</t>
  </si>
  <si>
    <t>CDC Sac-New Folsom</t>
  </si>
  <si>
    <t>916-985-8610 ext 3011</t>
  </si>
  <si>
    <t>Linda Young</t>
  </si>
  <si>
    <t>916-608-3138</t>
  </si>
  <si>
    <t>916-874-8688</t>
  </si>
  <si>
    <t>CHP North</t>
  </si>
  <si>
    <t>916-874-6860</t>
  </si>
  <si>
    <t>916-874-5102</t>
  </si>
  <si>
    <t>Elk Grove PD</t>
  </si>
  <si>
    <t>email</t>
  </si>
  <si>
    <t>Megan Andrade</t>
  </si>
  <si>
    <t>egpdsubpoenas@elkgrovepd.org</t>
  </si>
  <si>
    <t>916-478-8001</t>
  </si>
  <si>
    <t>Linda Brown</t>
  </si>
  <si>
    <t>Mather VA Hospital</t>
  </si>
  <si>
    <t>916-843-7395</t>
  </si>
  <si>
    <t>in person best</t>
  </si>
  <si>
    <t>Go to Trailer 1</t>
  </si>
  <si>
    <t>916-843-7005</t>
  </si>
  <si>
    <t>209-366-7040</t>
  </si>
  <si>
    <t>courtliaison@citrusheights.net</t>
  </si>
  <si>
    <t>DD</t>
  </si>
  <si>
    <t>PR</t>
  </si>
  <si>
    <t>Other</t>
  </si>
  <si>
    <t>Supervisor</t>
  </si>
  <si>
    <t>Supervisor Phone</t>
  </si>
  <si>
    <t>916-203-1059</t>
  </si>
  <si>
    <t>Allen Loussaert</t>
  </si>
  <si>
    <t>Testify</t>
  </si>
  <si>
    <t>Activity</t>
  </si>
  <si>
    <t>Olivette Jackson</t>
  </si>
  <si>
    <t>Amy Smith</t>
  </si>
  <si>
    <t>Debbie</t>
  </si>
  <si>
    <t>Andrea</t>
  </si>
  <si>
    <t>UC Davis Medical Records</t>
  </si>
  <si>
    <t>916-734-5205</t>
  </si>
  <si>
    <t>UC Davis Doctors</t>
  </si>
  <si>
    <t>2315 Stockton Blvd Building 12</t>
  </si>
  <si>
    <t>CSUS</t>
  </si>
  <si>
    <t>916-278-6000</t>
  </si>
  <si>
    <t>Det. Johnston</t>
  </si>
  <si>
    <t>jjohnsto@csus.edu</t>
  </si>
  <si>
    <t>916-278-2153</t>
  </si>
  <si>
    <t>Starting Mileage</t>
  </si>
  <si>
    <t>Ending Mileage</t>
  </si>
  <si>
    <t>Mileange</t>
  </si>
  <si>
    <t>Destination Address</t>
  </si>
  <si>
    <t>Mileage</t>
  </si>
  <si>
    <t>Odometer Start</t>
  </si>
  <si>
    <t>Odometer End</t>
  </si>
  <si>
    <t>T-Mobile/Metro</t>
  </si>
  <si>
    <t>973-292-8911</t>
  </si>
  <si>
    <t>973-292-8697</t>
  </si>
  <si>
    <t>ler2@t-mobile.com</t>
  </si>
  <si>
    <t>email for confirmation</t>
  </si>
  <si>
    <t>Case/Number/Attorney</t>
  </si>
  <si>
    <t>Actions</t>
  </si>
  <si>
    <t>Completed</t>
  </si>
  <si>
    <t>Tina Armour</t>
  </si>
  <si>
    <t>Los Rios PD</t>
  </si>
  <si>
    <t>courtliaison@losrios.edu</t>
  </si>
  <si>
    <t xml:space="preserve">(916) 608-6632 </t>
  </si>
  <si>
    <t>Jeanette Douglas</t>
  </si>
  <si>
    <t>916-608-6989</t>
  </si>
  <si>
    <t>Holidays</t>
  </si>
  <si>
    <t>New Years</t>
  </si>
  <si>
    <t>Martin Luther King Jr.</t>
  </si>
  <si>
    <t>Abraham Lincoln</t>
  </si>
  <si>
    <t>George Washington</t>
  </si>
  <si>
    <t>Ceasar Chavez</t>
  </si>
  <si>
    <t>Memorial Day</t>
  </si>
  <si>
    <t>Independence Day</t>
  </si>
  <si>
    <t>Labor Day</t>
  </si>
  <si>
    <t>Columbus Day</t>
  </si>
  <si>
    <t>Veterans Day</t>
  </si>
  <si>
    <t>Thanksgiving</t>
  </si>
  <si>
    <t>Christmas</t>
  </si>
  <si>
    <t>Last Monday in May</t>
  </si>
  <si>
    <t xml:space="preserve">Jan. 1, </t>
  </si>
  <si>
    <t>3rd Monday in Jan</t>
  </si>
  <si>
    <t>1st Monday in September</t>
  </si>
  <si>
    <t>Nov. 11</t>
  </si>
  <si>
    <t>3rd Monday in Feb</t>
  </si>
  <si>
    <t>Jul. 4</t>
  </si>
  <si>
    <t>2nd Monday in October</t>
  </si>
  <si>
    <t>4th Thursday in Nov</t>
  </si>
  <si>
    <t>Thanksgiving +1</t>
  </si>
  <si>
    <t>Day after T</t>
  </si>
  <si>
    <t>Mar. 31</t>
  </si>
  <si>
    <t>Feb. 12</t>
  </si>
  <si>
    <t>Dec. 25</t>
  </si>
  <si>
    <t>PS</t>
  </si>
  <si>
    <t>MS</t>
  </si>
  <si>
    <t>Total Rpt</t>
  </si>
  <si>
    <t>Attorney Table</t>
  </si>
  <si>
    <t>First</t>
  </si>
  <si>
    <t>Last</t>
  </si>
  <si>
    <t>Email</t>
  </si>
  <si>
    <t>Claremon, Carrie</t>
  </si>
  <si>
    <t>Collins, Berkeley</t>
  </si>
  <si>
    <t>Danilowitz, Guy</t>
  </si>
  <si>
    <t>Duran, Paulino</t>
  </si>
  <si>
    <t>Flynn, Karen</t>
  </si>
  <si>
    <t>Franklin, Scott</t>
  </si>
  <si>
    <t>Iyama, Karri</t>
  </si>
  <si>
    <t>Jovel, Damien</t>
  </si>
  <si>
    <t>Martin, Susannah</t>
  </si>
  <si>
    <t>Mendez, Alina</t>
  </si>
  <si>
    <t>Nelson, Michael</t>
  </si>
  <si>
    <t>Simpson, Rodney</t>
  </si>
  <si>
    <t>Spano, Paula</t>
  </si>
  <si>
    <t>Stoneburner, Jenny</t>
  </si>
  <si>
    <t>Young, Addie</t>
  </si>
  <si>
    <t>Semerdjian, Anna</t>
  </si>
  <si>
    <t>Report Template Name</t>
  </si>
  <si>
    <t>Photo Report Template Name</t>
  </si>
  <si>
    <t>Due Diligence Template Name</t>
  </si>
  <si>
    <t>Action Log Template</t>
  </si>
  <si>
    <t>Fax Template Name</t>
  </si>
  <si>
    <t>User Initials</t>
  </si>
  <si>
    <t>Date Off</t>
  </si>
  <si>
    <t>Mileage Log Recepient</t>
  </si>
  <si>
    <t>Investigator Name</t>
  </si>
  <si>
    <t>Car License</t>
  </si>
  <si>
    <t>Vehicle ID</t>
  </si>
  <si>
    <t>Inv. Phone</t>
  </si>
  <si>
    <t>Inv. Cell</t>
  </si>
  <si>
    <t>Inv. Email</t>
  </si>
  <si>
    <t>Inv. Title</t>
  </si>
  <si>
    <t>Inv. Fax number</t>
  </si>
  <si>
    <t>Interview Requested</t>
  </si>
  <si>
    <t>Photos Requested</t>
  </si>
  <si>
    <t>Subs Requested</t>
  </si>
  <si>
    <t>Other Requested</t>
  </si>
  <si>
    <t>Testimony Requested</t>
  </si>
  <si>
    <t xml:space="preserve"> </t>
  </si>
  <si>
    <t>Admin</t>
  </si>
  <si>
    <t>Received and reviewed investigative request</t>
  </si>
  <si>
    <t>Start</t>
  </si>
  <si>
    <t>Duties, Admin</t>
  </si>
  <si>
    <t xml:space="preserve">Criminal Investigator </t>
  </si>
  <si>
    <t>Kurtz, Joshua</t>
  </si>
  <si>
    <t>123 Main Street</t>
  </si>
  <si>
    <t>Juvenile</t>
  </si>
  <si>
    <t>Juvenile Hall</t>
  </si>
  <si>
    <t/>
  </si>
  <si>
    <t>IOD Logs Folder</t>
  </si>
  <si>
    <t>Mileage Logs Folder</t>
  </si>
  <si>
    <t>Action Logs Folder</t>
  </si>
  <si>
    <t>Reports Folder</t>
  </si>
  <si>
    <t>Open</t>
  </si>
  <si>
    <t>Closure Template Name</t>
  </si>
  <si>
    <t>IOD Log Template Name</t>
  </si>
  <si>
    <t>Juvenile Template Name</t>
  </si>
  <si>
    <t>Mileage Log Template Name</t>
  </si>
  <si>
    <t>Photo Storage Folder</t>
  </si>
  <si>
    <t>Jay, Ryan</t>
  </si>
  <si>
    <t>ActionLog Auto Print</t>
  </si>
  <si>
    <t>ClosureForm Auto Print</t>
  </si>
  <si>
    <t>Spell Check On</t>
  </si>
  <si>
    <t>IOD</t>
  </si>
  <si>
    <t>- -</t>
  </si>
  <si>
    <t>Various Duties</t>
  </si>
  <si>
    <t>Karri Iyama</t>
  </si>
  <si>
    <t>Adult</t>
  </si>
  <si>
    <t>9</t>
  </si>
  <si>
    <t>2 Interviews, 1 Photo, 1 Subpoena</t>
  </si>
  <si>
    <t>Burg, Ashley</t>
  </si>
  <si>
    <t>Thomas, Raymond</t>
  </si>
  <si>
    <t>Synnott, Tiffanie</t>
  </si>
  <si>
    <t>Gomez, Paul</t>
  </si>
  <si>
    <t>Huang, Teresa</t>
  </si>
  <si>
    <t>Cunningham, Meghan</t>
  </si>
  <si>
    <t>Clinkenbeard, Thomas</t>
  </si>
  <si>
    <t>Calvillo, Noel</t>
  </si>
  <si>
    <t>Slaughter, Mark</t>
  </si>
  <si>
    <t>Served subpoena in person to Google  at 123 Main St, (916) 555-1234. Yes</t>
  </si>
  <si>
    <t>Jammy dude, 12F1234, Atty, Young</t>
  </si>
  <si>
    <t>Shaffie, Michelle</t>
  </si>
  <si>
    <t>Thornhill, Corey</t>
  </si>
  <si>
    <t>Zane, Courtney</t>
  </si>
  <si>
    <t>DATE COMPLETE</t>
  </si>
  <si>
    <t>ATTORNEY</t>
  </si>
  <si>
    <t>Next Court Date</t>
  </si>
  <si>
    <t>Department</t>
  </si>
  <si>
    <t>Tauman, Leonard</t>
  </si>
  <si>
    <t>DUE DATE</t>
  </si>
  <si>
    <t>Subpoena Contact Letter Template Name</t>
  </si>
  <si>
    <t>Contact Letter Template Name</t>
  </si>
  <si>
    <t>Subpoena Proof of Service Template Name</t>
  </si>
  <si>
    <t>Doe, David</t>
  </si>
  <si>
    <t>201699999</t>
  </si>
  <si>
    <t>Barbour, Jeffrey</t>
  </si>
  <si>
    <t>Benson, Amanda</t>
  </si>
  <si>
    <t>Bowie, Arthur</t>
  </si>
  <si>
    <t>Buchholz, John</t>
  </si>
  <si>
    <t>Carlson, Katherine</t>
  </si>
  <si>
    <t>Cerri, Jennifer</t>
  </si>
  <si>
    <t>Chan, Ronald</t>
  </si>
  <si>
    <t>Cohen, Richard</t>
  </si>
  <si>
    <t>Contreras, Juan</t>
  </si>
  <si>
    <t>Contreras, Patricia</t>
  </si>
  <si>
    <t>Corona, Juan</t>
  </si>
  <si>
    <t>Cress, Joseph</t>
  </si>
  <si>
    <t>Dawson, Norman</t>
  </si>
  <si>
    <t>DelaRosa, Maura</t>
  </si>
  <si>
    <t>DiGiulio, Sandra</t>
  </si>
  <si>
    <t>Dominisse, Pamela</t>
  </si>
  <si>
    <t>Engle, Rachel</t>
  </si>
  <si>
    <t>Freedman, Jeffrey</t>
  </si>
  <si>
    <t>Gannon, Maegan</t>
  </si>
  <si>
    <t>Garrett, Steven</t>
  </si>
  <si>
    <t>Handler, Eric</t>
  </si>
  <si>
    <t>Hartley, Alicia</t>
  </si>
  <si>
    <t>Howard, Diane</t>
  </si>
  <si>
    <t>Johnson, Lawrence</t>
  </si>
  <si>
    <t>Kim, Dean</t>
  </si>
  <si>
    <t>Klemer, David</t>
  </si>
  <si>
    <t>Koper, Andrew</t>
  </si>
  <si>
    <t>Kutz, Karol</t>
  </si>
  <si>
    <t>Lancaster, Lisette</t>
  </si>
  <si>
    <t>Lewis, Steve</t>
  </si>
  <si>
    <t>Lopas, Matthew</t>
  </si>
  <si>
    <t>Lynch, David</t>
  </si>
  <si>
    <t>McElheney, Melissa</t>
  </si>
  <si>
    <t>Michel, Alice</t>
  </si>
  <si>
    <t>Miller, Kimberli</t>
  </si>
  <si>
    <t>Morris, Jessie</t>
  </si>
  <si>
    <t>Nelson, Stephen</t>
  </si>
  <si>
    <t>O'Connor, Joni</t>
  </si>
  <si>
    <t>Parfitt, Brooks</t>
  </si>
  <si>
    <t>Perkins, John</t>
  </si>
  <si>
    <t>Pytel, Dennis</t>
  </si>
  <si>
    <t>Raftery, Ryan</t>
  </si>
  <si>
    <t>Ramirez, Joseph</t>
  </si>
  <si>
    <t>Ratshin, Catherine</t>
  </si>
  <si>
    <t>Richardson, Michael</t>
  </si>
  <si>
    <t>Rogers, Amy</t>
  </si>
  <si>
    <t>Ryan, Christopher</t>
  </si>
  <si>
    <t>Sampson, Mickey</t>
  </si>
  <si>
    <t>Sorokolit, Robert</t>
  </si>
  <si>
    <t>Stoller, John</t>
  </si>
  <si>
    <t>Templeton, Amanda</t>
  </si>
  <si>
    <t>Van Etten, Jeremiah</t>
  </si>
  <si>
    <t>Virata, JoAnn</t>
  </si>
  <si>
    <t>Williams, Allison</t>
  </si>
  <si>
    <t>Woodard, Robert</t>
  </si>
  <si>
    <t>Yee, Larry</t>
  </si>
  <si>
    <t>Zielenski, Torr</t>
  </si>
  <si>
    <t>BarbourJ@saccounty.net</t>
  </si>
  <si>
    <t>BensonA@saccounty.net</t>
  </si>
  <si>
    <t>BersonR@saccounty.net</t>
  </si>
  <si>
    <t>BowieA@saccounty.net</t>
  </si>
  <si>
    <t>BuchholzJ@saccounty.net</t>
  </si>
  <si>
    <t>BurgA@saccounty.net</t>
  </si>
  <si>
    <t>CarlsonK@saccounty.net</t>
  </si>
  <si>
    <t>CerriJ@saccounty.net</t>
  </si>
  <si>
    <t>chanro@saccounty.net</t>
  </si>
  <si>
    <t>ClaremonC@saccounty.net</t>
  </si>
  <si>
    <t>ClinkenbeardT@saccounty.net</t>
  </si>
  <si>
    <t>CohenR@saccounty.net</t>
  </si>
  <si>
    <t>Collinsbe@saccounty.net</t>
  </si>
  <si>
    <t>ContrerasJ@saccounty.net</t>
  </si>
  <si>
    <t>ContrerasP@saccounty.net</t>
  </si>
  <si>
    <t>CressJ@saccounty.net</t>
  </si>
  <si>
    <t>CunninghamMe@saccounty.net</t>
  </si>
  <si>
    <t>DanilowitzG@saccounty.net</t>
  </si>
  <si>
    <t>DawsonNo@saccounty.net</t>
  </si>
  <si>
    <t>delaRosaM@saccounty.net</t>
  </si>
  <si>
    <t>DiGiulioS@saccounty.net</t>
  </si>
  <si>
    <t>DominisseP@saccounty.net</t>
  </si>
  <si>
    <t>DuranP@saccounty.net</t>
  </si>
  <si>
    <t>EngleJ@saccounty.net</t>
  </si>
  <si>
    <t>FlynnK@saccounty.net</t>
  </si>
  <si>
    <t>FranklinSc@saccounty.net</t>
  </si>
  <si>
    <t>FreedmanJ@saccounty.net</t>
  </si>
  <si>
    <t>GannonMa@saccounty.net</t>
  </si>
  <si>
    <t>GarrettS@saccounty.net</t>
  </si>
  <si>
    <t>GomezP@saccounty.net</t>
  </si>
  <si>
    <t>HandlerE@saccounty.net</t>
  </si>
  <si>
    <t>HarrisJ@saccounty.net</t>
  </si>
  <si>
    <t>HartleyA@saccounty.net</t>
  </si>
  <si>
    <t>HowardD@saccounty.net</t>
  </si>
  <si>
    <t>HuangT@saccounty.net</t>
  </si>
  <si>
    <t>JayR@saccounty.net</t>
  </si>
  <si>
    <t>JohnsonLa@saccounty.net</t>
  </si>
  <si>
    <t>JovelD@saccounty.net</t>
  </si>
  <si>
    <t>KlemerD@saccounty.net</t>
  </si>
  <si>
    <t>KoperA@saccounty.net</t>
  </si>
  <si>
    <t>KurtzJ@saccounty.net</t>
  </si>
  <si>
    <t>KutzK@saccounty.net</t>
  </si>
  <si>
    <t>LancasterL@saccounty.net</t>
  </si>
  <si>
    <t>LewisS@saccounty.net</t>
  </si>
  <si>
    <t>LopasM@saccounty.net</t>
  </si>
  <si>
    <t>LynchD@saccounty.net</t>
  </si>
  <si>
    <t>martinsu@saccounty.net</t>
  </si>
  <si>
    <t>McelheneyM@saccounty.net</t>
  </si>
  <si>
    <t>MendezA@saccounty.net</t>
  </si>
  <si>
    <t>MichelA@saccounty.net</t>
  </si>
  <si>
    <t>MillerKim@saccounty.net</t>
  </si>
  <si>
    <t>MorrisJe@saccounty.net</t>
  </si>
  <si>
    <t>NelsonM@saccounty.net</t>
  </si>
  <si>
    <t>NelsonSte@saccounty.net</t>
  </si>
  <si>
    <t>O'ConnorJ@saccounty.net</t>
  </si>
  <si>
    <t>ParfittB@saccounty.net</t>
  </si>
  <si>
    <t>PerkinsJoh@saccounty.net</t>
  </si>
  <si>
    <t>PytelD@saccounty.net</t>
  </si>
  <si>
    <t>RafteryR@saccounty.net</t>
  </si>
  <si>
    <t>RamirezJo@saccounty.net</t>
  </si>
  <si>
    <t>RatshinC@saccounty.net</t>
  </si>
  <si>
    <t>RichardsonM@saccounty.net</t>
  </si>
  <si>
    <t>RogersAm@saccounty.net</t>
  </si>
  <si>
    <t>RyanChris@saccounty.net</t>
  </si>
  <si>
    <t>SampsonM@saccounty.net</t>
  </si>
  <si>
    <t>semerdjiana@saccounty.net</t>
  </si>
  <si>
    <t>shaffiem@saccounty.net</t>
  </si>
  <si>
    <t>SimpsonR@saccounty.net</t>
  </si>
  <si>
    <t>SlaughterM@saccounty.net</t>
  </si>
  <si>
    <t>SorokolitR@saccounty.net</t>
  </si>
  <si>
    <t>SpanoP@saccounty.net</t>
  </si>
  <si>
    <t>stollerj@saccounty.net</t>
  </si>
  <si>
    <t>StoneburnerJ@saccounty.net</t>
  </si>
  <si>
    <t>SynnottT@saccounty.net</t>
  </si>
  <si>
    <t>TaumanL@saccounty.net</t>
  </si>
  <si>
    <t>ThomasRa@saccounty.net</t>
  </si>
  <si>
    <t>thornhillc@saccounty.net</t>
  </si>
  <si>
    <t>toq@saccounty.net</t>
  </si>
  <si>
    <t>VanEttenJe@saccounty.net</t>
  </si>
  <si>
    <t>VirataJ@saccounty.net</t>
  </si>
  <si>
    <t>WilliamsAll@saccounty.net</t>
  </si>
  <si>
    <t>WoodardR@saccounty.net</t>
  </si>
  <si>
    <t>YeeL@saccounty.net</t>
  </si>
  <si>
    <t>YoungAd@saccounty.net</t>
  </si>
  <si>
    <t>zanec@saccounty.net</t>
  </si>
  <si>
    <t>ZielenskiT@saccounty.net</t>
  </si>
  <si>
    <t>(916) 555-1212</t>
  </si>
  <si>
    <t>bannermans@saccounty.net</t>
  </si>
  <si>
    <t>BarronS@saccounty.net</t>
  </si>
  <si>
    <t>CalvilloN@saccounty.net</t>
  </si>
  <si>
    <t>CernyL@saccounty.net</t>
  </si>
  <si>
    <t>CoronaJu@saccounty.net</t>
  </si>
  <si>
    <t>CraigK@saccounty.net</t>
  </si>
  <si>
    <t>FernandezK@saccounty.net</t>
  </si>
  <si>
    <t>hirschs@saccounty.net</t>
  </si>
  <si>
    <t>HookE@saccounty.net</t>
  </si>
  <si>
    <t>InouyePe@saccounty.net</t>
  </si>
  <si>
    <t>IyamaK@saccounty.net</t>
  </si>
  <si>
    <t>KimD@saccounty.net</t>
  </si>
  <si>
    <t>KobryaV@saccounty.net</t>
  </si>
  <si>
    <t>LescroartJ@saccounty.net</t>
  </si>
  <si>
    <t>LimL@saccounty.net</t>
  </si>
  <si>
    <t>massiminia@saccounty.net</t>
  </si>
  <si>
    <t>mayorgaa@saccounty.net</t>
  </si>
  <si>
    <t>McClureD@saccounty.net</t>
  </si>
  <si>
    <t>mcgeet@saccounty.net</t>
  </si>
  <si>
    <t>micklethwaitek@saccounty.net</t>
  </si>
  <si>
    <t>MorenoR@saccounty.net</t>
  </si>
  <si>
    <t>MullanM@saccounty.net</t>
  </si>
  <si>
    <t>PaganoT@saccounty.net</t>
  </si>
  <si>
    <t>PattersonA@saccounty.net</t>
  </si>
  <si>
    <t>TempletonA@saccounty.net</t>
  </si>
  <si>
    <t>Bannerman, Sara</t>
  </si>
  <si>
    <t>Barron, Sally</t>
  </si>
  <si>
    <t>Berson, Richard</t>
  </si>
  <si>
    <t>Cerny, Lindsey</t>
  </si>
  <si>
    <t>Craig, Kelly</t>
  </si>
  <si>
    <t>Fernandez, Kimberly</t>
  </si>
  <si>
    <t>Harris, Jo Ann</t>
  </si>
  <si>
    <t>Hirsch, Stephen</t>
  </si>
  <si>
    <t>Hook, Eliza</t>
  </si>
  <si>
    <t>Inouye, Peter</t>
  </si>
  <si>
    <t>Kobrya, Vadim</t>
  </si>
  <si>
    <t>Lescroart, Jack</t>
  </si>
  <si>
    <t>Lim, Lisa</t>
  </si>
  <si>
    <t>Massimini, Amanda</t>
  </si>
  <si>
    <t>Mayorga, Alexia</t>
  </si>
  <si>
    <t>McClure, Debra</t>
  </si>
  <si>
    <t>McGee, Theodore</t>
  </si>
  <si>
    <t>Micklethwaite, Kendal</t>
  </si>
  <si>
    <t>Moreno, Reuben</t>
  </si>
  <si>
    <t>Mullan, Michael</t>
  </si>
  <si>
    <t>Pagano, Tallie</t>
  </si>
  <si>
    <t>Patterson, Alex</t>
  </si>
  <si>
    <t>To, Quocanh</t>
  </si>
  <si>
    <t>16FE747474</t>
  </si>
  <si>
    <t>Darden, Christopher</t>
  </si>
  <si>
    <t>Shapiro, Robert</t>
  </si>
  <si>
    <t>Lochte, Ryan</t>
  </si>
  <si>
    <t>Welby, Marcus</t>
  </si>
  <si>
    <t>123 Main Street, Sacramento, CA, 95814</t>
  </si>
  <si>
    <t>Doe, John</t>
  </si>
  <si>
    <t>125 Main Street, Sacramento, CA, 95814</t>
  </si>
  <si>
    <t>(916) 555-4444</t>
  </si>
  <si>
    <t>New User</t>
  </si>
  <si>
    <t>UserN@saccounty.net</t>
  </si>
  <si>
    <t>W:\Investigations\</t>
  </si>
  <si>
    <t>Root Path Folder</t>
  </si>
  <si>
    <t>Current Filename</t>
  </si>
  <si>
    <t>Current Path</t>
  </si>
  <si>
    <t>Installed</t>
  </si>
  <si>
    <t>W:\Investigations\ICMS</t>
  </si>
  <si>
    <t>InstallationSourcePath</t>
  </si>
  <si>
    <t>Template Folder</t>
  </si>
  <si>
    <t>1/8/2016</t>
  </si>
  <si>
    <t>10F12345</t>
  </si>
  <si>
    <t>Practice, Just For</t>
  </si>
  <si>
    <t>273.5 PC</t>
  </si>
  <si>
    <t>Duties, Investigator</t>
  </si>
  <si>
    <t>WindowsUserName</t>
  </si>
  <si>
    <t>InterviewAward</t>
  </si>
  <si>
    <t>SubpoenaAward</t>
  </si>
  <si>
    <t>!Investigation Log-NewUser.xlsm</t>
  </si>
  <si>
    <t>MouzisC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</si>
</sst>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/d/yy\ AM/PM"/>
    <numFmt numFmtId="165" formatCode="mm/dd/yy;@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Calibri"/>
      <family val="2"/>
      <scheme val="minor"/>
    </font>
    <font>
      <sz val="10"/>
      <color rgb="FF000000"/>
      <name val="Arial Unicode MS"/>
      <family val="2"/>
    </font>
    <font>
      <sz val="11"/>
      <color theme="1"/>
      <name val="Calibri"/>
      <family val="2"/>
    </font>
    <font>
      <sz val="10"/>
      <color rgb="FF323232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thin">
        <color theme="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Protection="1">
      <protection locked="0"/>
    </xf>
    <xf numFmtId="14" fontId="0" fillId="0" borderId="0" xfId="0" applyNumberFormat="1" applyProtection="1"/>
    <xf numFmtId="0" fontId="0" fillId="0" borderId="0" xfId="0" applyProtection="1"/>
    <xf numFmtId="14" fontId="0" fillId="0" borderId="0" xfId="0" applyNumberFormat="1"/>
    <xf numFmtId="0" fontId="0" fillId="2" borderId="2" xfId="0" applyFill="1" applyBorder="1" applyAlignment="1" applyProtection="1">
      <alignment horizontal="center" wrapText="1"/>
    </xf>
    <xf numFmtId="0" fontId="2" fillId="0" borderId="0" xfId="0" applyFont="1" applyAlignment="1">
      <alignment horizontal="left" wrapText="1"/>
    </xf>
    <xf numFmtId="0" fontId="3" fillId="0" borderId="0" xfId="0" applyFont="1" applyAlignment="1">
      <alignment horizontal="left" wrapText="1"/>
    </xf>
    <xf numFmtId="0" fontId="0" fillId="0" borderId="0" xfId="0" applyNumberFormat="1" applyProtection="1"/>
    <xf numFmtId="0" fontId="2" fillId="0" borderId="0" xfId="0" applyFont="1" applyAlignment="1" applyProtection="1">
      <alignment horizontal="left" wrapText="1"/>
    </xf>
    <xf numFmtId="0" fontId="4" fillId="0" borderId="0" xfId="1"/>
    <xf numFmtId="0" fontId="5" fillId="0" borderId="0" xfId="0" applyFont="1"/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14" fontId="7" fillId="3" borderId="5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 indent="3"/>
    </xf>
    <xf numFmtId="0" fontId="9" fillId="0" borderId="0" xfId="0" applyFont="1"/>
    <xf numFmtId="16" fontId="0" fillId="0" borderId="0" xfId="0" applyNumberFormat="1"/>
    <xf numFmtId="14" fontId="10" fillId="0" borderId="4" xfId="0" applyNumberFormat="1" applyFont="1" applyBorder="1"/>
    <xf numFmtId="14" fontId="10" fillId="4" borderId="4" xfId="0" applyNumberFormat="1" applyFont="1" applyFill="1" applyBorder="1" applyAlignment="1">
      <alignment vertical="center" wrapText="1"/>
    </xf>
    <xf numFmtId="14" fontId="0" fillId="0" borderId="4" xfId="0" applyNumberFormat="1" applyBorder="1"/>
    <xf numFmtId="0" fontId="2" fillId="0" borderId="0" xfId="0" applyFont="1" applyAlignment="1" applyProtection="1">
      <alignment horizontal="left"/>
      <protection locked="0"/>
    </xf>
    <xf numFmtId="165" fontId="2" fillId="0" borderId="0" xfId="0" applyNumberFormat="1" applyFont="1" applyAlignment="1" applyProtection="1">
      <alignment horizontal="left"/>
      <protection locked="0"/>
    </xf>
    <xf numFmtId="165" fontId="3" fillId="0" borderId="0" xfId="0" applyNumberFormat="1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6" fillId="0" borderId="0" xfId="0" applyFont="1" applyAlignment="1" applyProtection="1">
      <alignment horizontal="left"/>
      <protection locked="0"/>
    </xf>
    <xf numFmtId="0" fontId="0" fillId="0" borderId="7" xfId="0" applyFont="1" applyBorder="1"/>
    <xf numFmtId="0" fontId="11" fillId="5" borderId="0" xfId="0" applyFont="1" applyFill="1" applyBorder="1"/>
    <xf numFmtId="0" fontId="0" fillId="0" borderId="7" xfId="0" applyNumberFormat="1" applyFont="1" applyBorder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Fill="1"/>
    <xf numFmtId="0" fontId="12" fillId="0" borderId="7" xfId="0" applyFont="1" applyBorder="1"/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0" fontId="0" fillId="0" borderId="0" xfId="0" applyNumberFormat="1"/>
    <xf numFmtId="0" fontId="1" fillId="0" borderId="2" xfId="0" applyFont="1" applyBorder="1" applyProtection="1"/>
    <xf numFmtId="0" fontId="13" fillId="0" borderId="7" xfId="0" applyFont="1" applyBorder="1"/>
    <xf numFmtId="49" fontId="0" fillId="0" borderId="0" xfId="0" applyNumberFormat="1" applyProtection="1"/>
    <xf numFmtId="0" fontId="0" fillId="0" borderId="0" xfId="0" applyAlignment="1">
      <alignment wrapText="1"/>
    </xf>
    <xf numFmtId="0" fontId="15" fillId="0" borderId="7" xfId="0" applyFont="1" applyBorder="1"/>
    <xf numFmtId="0" fontId="0" fillId="0" borderId="0" xfId="0" applyFont="1" applyBorder="1"/>
    <xf numFmtId="0" fontId="14" fillId="0" borderId="0" xfId="0" applyFont="1" applyAlignment="1">
      <alignment horizontal="left" vertical="center"/>
    </xf>
    <xf numFmtId="49" fontId="2" fillId="0" borderId="0" xfId="0" applyNumberFormat="1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4" fontId="0" fillId="0" borderId="0" xfId="0" applyNumberFormat="1" applyAlignment="1" applyProtection="1">
      <alignment horizontal="left"/>
    </xf>
    <xf numFmtId="18" fontId="0" fillId="0" borderId="0" xfId="0" applyNumberFormat="1" applyAlignment="1" applyProtection="1">
      <alignment horizontal="left"/>
    </xf>
    <xf numFmtId="0" fontId="15" fillId="0" borderId="0" xfId="0" applyFont="1" applyBorder="1"/>
    <xf numFmtId="0" fontId="16" fillId="6" borderId="2" xfId="0" applyFont="1" applyFill="1" applyBorder="1" applyAlignment="1" applyProtection="1">
      <alignment horizontal="center"/>
    </xf>
    <xf numFmtId="14" fontId="16" fillId="6" borderId="2" xfId="0" applyNumberFormat="1" applyFont="1" applyFill="1" applyBorder="1" applyAlignment="1" applyProtection="1">
      <alignment horizontal="left"/>
    </xf>
    <xf numFmtId="0" fontId="16" fillId="6" borderId="2" xfId="0" applyFont="1" applyFill="1" applyBorder="1" applyAlignment="1" applyProtection="1">
      <alignment horizontal="left"/>
    </xf>
    <xf numFmtId="0" fontId="0" fillId="0" borderId="0" xfId="0" applyBorder="1"/>
    <xf numFmtId="0" fontId="17" fillId="0" borderId="7" xfId="0" applyFont="1" applyBorder="1"/>
    <xf numFmtId="0" fontId="17" fillId="0" borderId="0" xfId="0" applyFont="1" applyBorder="1"/>
    <xf numFmtId="0" fontId="0" fillId="0" borderId="7" xfId="0" applyBorder="1"/>
    <xf numFmtId="0" fontId="17" fillId="0" borderId="0" xfId="0" applyNumberFormat="1" applyFont="1" applyBorder="1"/>
    <xf numFmtId="0" fontId="0" fillId="0" borderId="0" xfId="0" applyNumberFormat="1" applyFont="1" applyBorder="1"/>
    <xf numFmtId="0" fontId="18" fillId="0" borderId="0" xfId="0" applyFont="1" applyAlignment="1">
      <alignment vertical="center"/>
    </xf>
    <xf numFmtId="165" fontId="19" fillId="8" borderId="8" xfId="0" applyNumberFormat="1" applyFont="1" applyFill="1" applyBorder="1" applyAlignment="1">
      <alignment horizontal="left"/>
    </xf>
    <xf numFmtId="0" fontId="19" fillId="8" borderId="8" xfId="0" applyFont="1" applyFill="1" applyBorder="1" applyAlignment="1">
      <alignment horizontal="left"/>
    </xf>
    <xf numFmtId="0" fontId="19" fillId="8" borderId="8" xfId="0" applyFont="1" applyFill="1" applyBorder="1" applyAlignment="1">
      <alignment horizontal="left" wrapText="1"/>
    </xf>
    <xf numFmtId="165" fontId="2" fillId="7" borderId="8" xfId="0" applyNumberFormat="1" applyFont="1" applyFill="1" applyBorder="1" applyAlignment="1">
      <alignment horizontal="left" vertical="center"/>
    </xf>
    <xf numFmtId="18" fontId="2" fillId="7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Border="1" applyAlignment="1">
      <alignment horizontal="left" vertical="center"/>
    </xf>
    <xf numFmtId="18" fontId="2" fillId="0" borderId="8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left" wrapText="1"/>
    </xf>
    <xf numFmtId="0" fontId="3" fillId="7" borderId="8" xfId="0" applyFont="1" applyFill="1" applyBorder="1" applyAlignment="1">
      <alignment horizontal="left" wrapText="1"/>
    </xf>
    <xf numFmtId="49" fontId="19" fillId="8" borderId="9" xfId="0" applyNumberFormat="1" applyFont="1" applyFill="1" applyBorder="1" applyAlignment="1">
      <alignment horizontal="left"/>
    </xf>
    <xf numFmtId="165" fontId="2" fillId="0" borderId="0" xfId="0" applyNumberFormat="1" applyFont="1" applyFill="1" applyBorder="1" applyAlignment="1">
      <alignment horizontal="left" vertical="center"/>
    </xf>
    <xf numFmtId="18" fontId="2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left" wrapText="1"/>
    </xf>
    <xf numFmtId="0" fontId="0" fillId="0" borderId="0" xfId="0" applyFill="1" applyBorder="1"/>
    <xf numFmtId="18" fontId="2" fillId="0" borderId="0" xfId="0" applyNumberFormat="1" applyFont="1" applyAlignment="1" applyProtection="1">
      <alignment horizontal="left"/>
      <protection locked="0"/>
    </xf>
    <xf numFmtId="165" fontId="20" fillId="0" borderId="0" xfId="0" applyNumberFormat="1" applyFont="1" applyAlignment="1" applyProtection="1">
      <alignment horizontal="left"/>
      <protection locked="0"/>
    </xf>
    <xf numFmtId="18" fontId="20" fillId="0" borderId="0" xfId="0" applyNumberFormat="1" applyFont="1" applyAlignment="1" applyProtection="1">
      <alignment horizontal="left"/>
      <protection locked="0"/>
    </xf>
    <xf numFmtId="0" fontId="20" fillId="0" borderId="0" xfId="0" applyFont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center" wrapText="1"/>
    </xf>
    <xf numFmtId="14" fontId="0" fillId="2" borderId="2" xfId="0" applyNumberFormat="1" applyFill="1" applyBorder="1" applyAlignment="1" applyProtection="1">
      <alignment horizontal="center" wrapText="1"/>
    </xf>
    <xf numFmtId="164" fontId="0" fillId="2" borderId="2" xfId="0" applyNumberFormat="1" applyFill="1" applyBorder="1" applyAlignment="1" applyProtection="1">
      <alignment horizontal="center" wrapText="1"/>
    </xf>
    <xf numFmtId="0" fontId="0" fillId="2" borderId="3" xfId="0" applyFill="1" applyBorder="1" applyAlignment="1" applyProtection="1">
      <alignment horizontal="center" wrapText="1"/>
    </xf>
  </cellXfs>
  <cellStyles count="2">
    <cellStyle name="Hyperlink" xfId="1" builtinId="8"/>
    <cellStyle name="Normal" xfId="0" builtinId="0"/>
  </cellStyles>
  <dxfs count="135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border outline="0">
        <top style="medium">
          <color rgb="FF000000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23" formatCode="h:mm\ AM/PM"/>
      <alignment horizontal="left" vertical="bottom" textRotation="0" wrapText="0" indent="0" justifyLastLine="0" shrinkToFit="0" readingOrder="0"/>
      <protection locked="1" hidden="0"/>
    </dxf>
    <dxf>
      <numFmt numFmtId="19" formatCode="m/d/yyyy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23" formatCode="h:mm\ AM/PM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23" formatCode="h:mm\ AM/PM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mm/dd/yy;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mm/dd/yy;@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30" formatCode="@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/>
        <i val="0"/>
      </font>
    </dxf>
    <dxf>
      <font>
        <b/>
        <i val="0"/>
      </font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m/d/yy\ AM/PM"/>
      <protection locked="1" hidden="0"/>
    </dxf>
    <dxf>
      <protection locked="0" hidden="0"/>
    </dxf>
    <dxf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9" formatCode="m/d/yyyy"/>
      <protection locked="1" hidden="0"/>
    </dxf>
    <dxf>
      <protection locked="0" hidden="0"/>
    </dxf>
    <dxf>
      <numFmt numFmtId="30" formatCode="@"/>
      <protection locked="1" hidden="0"/>
    </dxf>
    <dxf>
      <protection locked="1" hidden="0"/>
    </dxf>
    <dxf>
      <border outline="0">
        <top style="medium">
          <color indexed="64"/>
        </top>
      </border>
    </dxf>
    <dxf>
      <protection locked="1" hidden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1" indent="0" justifyLastLine="0" shrinkToFit="0" readingOrder="0"/>
      <protection locked="1" hidden="0"/>
    </dxf>
    <dxf>
      <fill>
        <patternFill>
          <bgColor rgb="FF80FF80"/>
        </patternFill>
      </fill>
    </dxf>
    <dxf>
      <fill>
        <patternFill>
          <bgColor rgb="FFFFCC99"/>
        </patternFill>
      </fill>
    </dxf>
    <dxf>
      <font>
        <b/>
        <i val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  <color rgb="FFFFCC99"/>
      <color rgb="FF80FF80"/>
      <color rgb="FF39E75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9.emf"/><Relationship Id="rId11" Type="http://schemas.openxmlformats.org/officeDocument/2006/relationships/image" Target="../media/image10.emf"/><Relationship Id="rId5" Type="http://schemas.openxmlformats.org/officeDocument/2006/relationships/image" Target="../media/image18.emf"/><Relationship Id="rId10" Type="http://schemas.openxmlformats.org/officeDocument/2006/relationships/image" Target="../media/image13.emf"/><Relationship Id="rId4" Type="http://schemas.openxmlformats.org/officeDocument/2006/relationships/image" Target="../media/image17.emf"/><Relationship Id="rId9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0</xdr:row>
          <xdr:rowOff>114300</xdr:rowOff>
        </xdr:from>
        <xdr:to>
          <xdr:col>6</xdr:col>
          <xdr:colOff>800100</xdr:colOff>
          <xdr:row>0</xdr:row>
          <xdr:rowOff>476250</xdr:rowOff>
        </xdr:to>
        <xdr:sp macro="" textlink="">
          <xdr:nvSpPr>
            <xdr:cNvPr id="1027" name="cmdRepor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1257300</xdr:colOff>
          <xdr:row>0</xdr:row>
          <xdr:rowOff>0</xdr:rowOff>
        </xdr:from>
        <xdr:to>
          <xdr:col>9</xdr:col>
          <xdr:colOff>219075</xdr:colOff>
          <xdr:row>0</xdr:row>
          <xdr:rowOff>361950</xdr:rowOff>
        </xdr:to>
        <xdr:sp macro="" textlink="">
          <xdr:nvSpPr>
            <xdr:cNvPr id="1028" name="cmdHid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3</xdr:col>
          <xdr:colOff>0</xdr:colOff>
          <xdr:row>1</xdr:row>
          <xdr:rowOff>66675</xdr:rowOff>
        </xdr:to>
        <xdr:sp macro="" textlink="">
          <xdr:nvSpPr>
            <xdr:cNvPr id="1033" name="cboClientLocat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1000125</xdr:colOff>
          <xdr:row>0</xdr:row>
          <xdr:rowOff>114300</xdr:rowOff>
        </xdr:from>
        <xdr:to>
          <xdr:col>8</xdr:col>
          <xdr:colOff>38100</xdr:colOff>
          <xdr:row>0</xdr:row>
          <xdr:rowOff>476250</xdr:rowOff>
        </xdr:to>
        <xdr:sp macro="" textlink="">
          <xdr:nvSpPr>
            <xdr:cNvPr id="1035" name="cmdCloseCase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0</xdr:row>
          <xdr:rowOff>114300</xdr:rowOff>
        </xdr:from>
        <xdr:to>
          <xdr:col>8</xdr:col>
          <xdr:colOff>1133475</xdr:colOff>
          <xdr:row>0</xdr:row>
          <xdr:rowOff>476250</xdr:rowOff>
        </xdr:to>
        <xdr:sp macro="" textlink="">
          <xdr:nvSpPr>
            <xdr:cNvPr id="1036" name="cmdPathChange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114300</xdr:rowOff>
        </xdr:from>
        <xdr:to>
          <xdr:col>1</xdr:col>
          <xdr:colOff>819150</xdr:colOff>
          <xdr:row>0</xdr:row>
          <xdr:rowOff>476250</xdr:rowOff>
        </xdr:to>
        <xdr:sp macro="" textlink="">
          <xdr:nvSpPr>
            <xdr:cNvPr id="1037" name="cmdAction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114300</xdr:rowOff>
        </xdr:from>
        <xdr:to>
          <xdr:col>4</xdr:col>
          <xdr:colOff>676275</xdr:colOff>
          <xdr:row>0</xdr:row>
          <xdr:rowOff>476250</xdr:rowOff>
        </xdr:to>
        <xdr:sp macro="" textlink="">
          <xdr:nvSpPr>
            <xdr:cNvPr id="1038" name="cmdEnterAc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1266825</xdr:colOff>
          <xdr:row>0</xdr:row>
          <xdr:rowOff>333375</xdr:rowOff>
        </xdr:from>
        <xdr:to>
          <xdr:col>9</xdr:col>
          <xdr:colOff>228600</xdr:colOff>
          <xdr:row>0</xdr:row>
          <xdr:rowOff>666750</xdr:rowOff>
        </xdr:to>
        <xdr:sp macro="" textlink="">
          <xdr:nvSpPr>
            <xdr:cNvPr id="1040" name="togProtectio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38100</xdr:rowOff>
        </xdr:from>
        <xdr:to>
          <xdr:col>2</xdr:col>
          <xdr:colOff>676275</xdr:colOff>
          <xdr:row>0</xdr:row>
          <xdr:rowOff>523875</xdr:rowOff>
        </xdr:to>
        <xdr:sp macro="" textlink="">
          <xdr:nvSpPr>
            <xdr:cNvPr id="1041" name="cmdEditCase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</xdr:row>
          <xdr:rowOff>123825</xdr:rowOff>
        </xdr:from>
        <xdr:to>
          <xdr:col>0</xdr:col>
          <xdr:colOff>133350</xdr:colOff>
          <xdr:row>2</xdr:row>
          <xdr:rowOff>142875</xdr:rowOff>
        </xdr:to>
        <xdr:sp macro="" textlink="">
          <xdr:nvSpPr>
            <xdr:cNvPr id="2059" name="cmdToday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123825</xdr:rowOff>
        </xdr:from>
        <xdr:to>
          <xdr:col>0</xdr:col>
          <xdr:colOff>95250</xdr:colOff>
          <xdr:row>2</xdr:row>
          <xdr:rowOff>142875</xdr:rowOff>
        </xdr:to>
        <xdr:sp macro="" textlink="">
          <xdr:nvSpPr>
            <xdr:cNvPr id="2061" name="cmdNow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47625</xdr:rowOff>
        </xdr:from>
        <xdr:to>
          <xdr:col>7</xdr:col>
          <xdr:colOff>276225</xdr:colOff>
          <xdr:row>1</xdr:row>
          <xdr:rowOff>180975</xdr:rowOff>
        </xdr:to>
        <xdr:grpSp>
          <xdr:nvGrpSpPr>
            <xdr:cNvPr id="2" name="Group 1"/>
            <xdr:cNvGrpSpPr/>
          </xdr:nvGrpSpPr>
          <xdr:grpSpPr>
            <a:xfrm>
              <a:off x="85725" y="47625"/>
              <a:ext cx="11468101" cy="333375"/>
              <a:chOff x="85777" y="47614"/>
              <a:chExt cx="11468929" cy="333439"/>
            </a:xfrm>
          </xdr:grpSpPr>
          <xdr:sp macro="" textlink="">
            <xdr:nvSpPr>
              <xdr:cNvPr id="2053" name="cmdSortCaseLogs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2486251" y="47614"/>
                <a:ext cx="1257391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4" name="cmdFilterCase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3896053" y="47614"/>
                <a:ext cx="952569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7" name="cboClientSearch" hidden="1">
                <a:extLst>
                  <a:ext uri="{63B3BB69-23CF-44E3-9099-C40C66FF867C}">
                    <a14:compatExt spid="_x0000_s2057"/>
                  </a:ext>
                </a:extLst>
              </xdr:cNvPr>
              <xdr:cNvSpPr/>
            </xdr:nvSpPr>
            <xdr:spPr bwMode="auto">
              <a:xfrm>
                <a:off x="8839885" y="47614"/>
                <a:ext cx="1371699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8" name="cmdWitness" hidden="1">
                <a:extLst>
                  <a:ext uri="{63B3BB69-23CF-44E3-9099-C40C66FF867C}">
                    <a14:compatExt spid="_x0000_s2058"/>
                  </a:ext>
                </a:extLst>
              </xdr:cNvPr>
              <xdr:cNvSpPr/>
            </xdr:nvSpPr>
            <xdr:spPr bwMode="auto">
              <a:xfrm>
                <a:off x="7658699" y="47614"/>
                <a:ext cx="1095454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2" name="txtDueDate" hidden="1">
                <a:extLst>
                  <a:ext uri="{63B3BB69-23CF-44E3-9099-C40C66FF867C}">
                    <a14:compatExt spid="_x0000_s2062"/>
                  </a:ext>
                </a:extLst>
              </xdr:cNvPr>
              <xdr:cNvSpPr/>
            </xdr:nvSpPr>
            <xdr:spPr bwMode="auto">
              <a:xfrm>
                <a:off x="85777" y="47614"/>
                <a:ext cx="2324268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4" name="cmdPlus" hidden="1">
                <a:extLst>
                  <a:ext uri="{63B3BB69-23CF-44E3-9099-C40C66FF867C}">
                    <a14:compatExt spid="_x0000_s2064"/>
                  </a:ext>
                </a:extLst>
              </xdr:cNvPr>
              <xdr:cNvSpPr/>
            </xdr:nvSpPr>
            <xdr:spPr bwMode="auto">
              <a:xfrm>
                <a:off x="4953404" y="47614"/>
                <a:ext cx="314348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5" name="cmdMinus" hidden="1">
                <a:extLst>
                  <a:ext uri="{63B3BB69-23CF-44E3-9099-C40C66FF867C}">
                    <a14:compatExt spid="_x0000_s2065"/>
                  </a:ext>
                </a:extLst>
              </xdr:cNvPr>
              <xdr:cNvSpPr/>
            </xdr:nvSpPr>
            <xdr:spPr bwMode="auto">
              <a:xfrm>
                <a:off x="5391586" y="47614"/>
                <a:ext cx="314348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6" name="cmdMileageInc" hidden="1">
                <a:extLst>
                  <a:ext uri="{63B3BB69-23CF-44E3-9099-C40C66FF867C}">
                    <a14:compatExt spid="_x0000_s2066"/>
                  </a:ext>
                </a:extLst>
              </xdr:cNvPr>
              <xdr:cNvSpPr/>
            </xdr:nvSpPr>
            <xdr:spPr bwMode="auto">
              <a:xfrm>
                <a:off x="10363995" y="47614"/>
                <a:ext cx="1190711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7" name="cmdEnterActionCaseSheet" hidden="1">
                <a:extLst>
                  <a:ext uri="{63B3BB69-23CF-44E3-9099-C40C66FF867C}">
                    <a14:compatExt spid="_x0000_s2067"/>
                  </a:ext>
                </a:extLst>
              </xdr:cNvPr>
              <xdr:cNvSpPr/>
            </xdr:nvSpPr>
            <xdr:spPr bwMode="auto">
              <a:xfrm>
                <a:off x="5877396" y="57141"/>
                <a:ext cx="990672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8" name="cmdPrintActionDraft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6925222" y="57141"/>
                <a:ext cx="685850" cy="3239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76200</xdr:rowOff>
        </xdr:from>
        <xdr:to>
          <xdr:col>7</xdr:col>
          <xdr:colOff>428625</xdr:colOff>
          <xdr:row>0</xdr:row>
          <xdr:rowOff>381000</xdr:rowOff>
        </xdr:to>
        <xdr:sp macro="" textlink="">
          <xdr:nvSpPr>
            <xdr:cNvPr id="4097" name="cmdCreateLo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28575</xdr:rowOff>
        </xdr:from>
        <xdr:to>
          <xdr:col>8</xdr:col>
          <xdr:colOff>342900</xdr:colOff>
          <xdr:row>0</xdr:row>
          <xdr:rowOff>361950</xdr:rowOff>
        </xdr:to>
        <xdr:sp macro="" textlink="">
          <xdr:nvSpPr>
            <xdr:cNvPr id="9218" name="cmdMileageLog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vestigation_Log" displayName="Investigation_Log" ref="A2:AI5" headerRowDxfId="129" dataDxfId="127" totalsRowDxfId="125" headerRowBorderDxfId="128" tableBorderDxfId="126">
  <autoFilter ref="A2:AI5"/>
  <sortState ref="A3:AI29">
    <sortCondition ref="G3:G29"/>
    <sortCondition ref="F3:F29"/>
  </sortState>
  <tableColumns count="35">
    <tableColumn id="1" name="CASE NUMBER" totalsRowLabel="Total" dataDxfId="124" totalsRowDxfId="123"/>
    <tableColumn id="2" name="DATE RECEIVED" dataDxfId="122" totalsRowDxfId="121"/>
    <tableColumn id="3" name="DEFENDANT’S NAME" dataDxfId="120" totalsRowDxfId="119"/>
    <tableColumn id="4" name="DEFENDANT’S X-REF NO." dataDxfId="118" totalsRowDxfId="117"/>
    <tableColumn id="5" name="ATTORNEY" dataDxfId="116" totalsRowDxfId="115"/>
    <tableColumn id="6" name="DUE DATE" dataDxfId="114" totalsRowDxfId="113"/>
    <tableColumn id="7" name="DATE COMPLETE" dataDxfId="112" totalsRowDxfId="111"/>
    <tableColumn id="8" name="ASSIGNED WORK" dataDxfId="110" totalsRowDxfId="109"/>
    <tableColumn id="36" name="Charges" dataDxfId="108" totalsRowDxfId="107"/>
    <tableColumn id="37" name="Next Court Date" dataDxfId="106" totalsRowDxfId="105"/>
    <tableColumn id="38" name="Department" dataDxfId="104" totalsRowDxfId="103"/>
    <tableColumn id="9" name="RE-OPEN" dataDxfId="102" totalsRowDxfId="101"/>
    <tableColumn id="10" name="Action Log" dataDxfId="100" totalsRowDxfId="99"/>
    <tableColumn id="11" name="Version" dataDxfId="98" totalsRowDxfId="97"/>
    <tableColumn id="12" name="Juvenile" dataDxfId="96" totalsRowDxfId="95"/>
    <tableColumn id="13" name="Column4" dataDxfId="94" totalsRowDxfId="93"/>
    <tableColumn id="14" name="Old Due Date" dataDxfId="92" totalsRowDxfId="91"/>
    <tableColumn id="39" name="Column1" dataDxfId="90" totalsRowDxfId="89"/>
    <tableColumn id="15" name="Interviews completed" dataDxfId="88" totalsRowDxfId="87"/>
    <tableColumn id="16" name="Column7" dataDxfId="86" totalsRowDxfId="85"/>
    <tableColumn id="17" name="Column8" dataDxfId="84" totalsRowDxfId="83"/>
    <tableColumn id="18" name="Other" dataDxfId="82" totalsRowDxfId="81"/>
    <tableColumn id="19" name="TI" dataDxfId="80" totalsRowDxfId="79"/>
    <tableColumn id="20" name="PI" dataDxfId="78" totalsRowDxfId="77"/>
    <tableColumn id="21" name="DD" dataDxfId="76" totalsRowDxfId="75"/>
    <tableColumn id="22" name="PR" totalsRowFunction="count" dataDxfId="74" totalsRowDxfId="73"/>
    <tableColumn id="23" name="PS" dataDxfId="72" totalsRowDxfId="71"/>
    <tableColumn id="24" name="MS" dataDxfId="70" totalsRowDxfId="69"/>
    <tableColumn id="25" name="Total Rpt" dataDxfId="68" totalsRowDxfId="67"/>
    <tableColumn id="27" name="Testify" dataDxfId="66" totalsRowDxfId="65"/>
    <tableColumn id="26" name="Interview Requested" dataDxfId="64" totalsRowDxfId="63"/>
    <tableColumn id="28" name="Photos Requested" dataDxfId="62" totalsRowDxfId="61"/>
    <tableColumn id="29" name="Subs Requested" dataDxfId="60" totalsRowDxfId="59"/>
    <tableColumn id="30" name="Other Requested" dataDxfId="58" totalsRowDxfId="57"/>
    <tableColumn id="31" name="Testimony Requested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J5" totalsRowShown="0" headerRowDxfId="52" dataDxfId="51">
  <autoFilter ref="A3:J5"/>
  <sortState ref="A4:J128">
    <sortCondition ref="B4:B128"/>
    <sortCondition ref="C4:C128"/>
  </sortState>
  <tableColumns count="10">
    <tableColumn id="1" name="Case Number" dataDxfId="50" totalsRowDxfId="49"/>
    <tableColumn id="2" name="Date" dataDxfId="48" totalsRowDxfId="47"/>
    <tableColumn id="3" name="Time" dataDxfId="46" totalsRowDxfId="45"/>
    <tableColumn id="4" name="Action" dataDxfId="44" totalsRowDxfId="43"/>
    <tableColumn id="5" name="Duration" dataDxfId="42" totalsRowDxfId="41"/>
    <tableColumn id="6" name="Client" dataDxfId="40" totalsRowDxfId="39">
      <calculatedColumnFormula>IFERROR(INDEX(Clients,(MATCH(A4,Cases,0))),"-")</calculatedColumnFormula>
    </tableColumn>
    <tableColumn id="7" name="Activity" dataDxfId="38"/>
    <tableColumn id="8" name="Starting Mileage" dataDxfId="37"/>
    <tableColumn id="9" name="Ending Mileage" dataDxfId="36"/>
    <tableColumn id="10" name="Mileange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e7" displayName="Table7" ref="A1:H3" totalsRowShown="0" headerRowDxfId="34" dataDxfId="32" headerRowBorderDxfId="33">
  <tableColumns count="8">
    <tableColumn id="1" name="Case" dataDxfId="31"/>
    <tableColumn id="2" name="Date" dataDxfId="30"/>
    <tableColumn id="3" name="Time" dataDxfId="29"/>
    <tableColumn id="4" name="Type" dataDxfId="28"/>
    <tableColumn id="5" name="Name" dataDxfId="27"/>
    <tableColumn id="6" name="DOB" dataDxfId="26"/>
    <tableColumn id="7" name="Address" dataDxfId="25"/>
    <tableColumn id="8" name="Telephone" dataDxfId="24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IODTable" displayName="IODTable" ref="A1:D2" totalsRowShown="0">
  <sortState ref="A2:D6">
    <sortCondition ref="D2:D6"/>
  </sortState>
  <tableColumns count="4">
    <tableColumn id="1" name="Case/Number/Attorney" dataDxfId="23"/>
    <tableColumn id="2" name="Actions" dataDxfId="22"/>
    <tableColumn id="3" name="Completed"/>
    <tableColumn id="4" name="Date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MileageLog" displayName="MileageLog" ref="A1:F2" totalsRowShown="0" headerRowDxfId="20" headerRowBorderDxfId="19" tableBorderDxfId="18">
  <autoFilter ref="A1:F2"/>
  <tableColumns count="6">
    <tableColumn id="1" name="Date" dataDxfId="17"/>
    <tableColumn id="2" name="Destination Address" dataDxfId="16"/>
    <tableColumn id="3" name="Case Number" dataDxfId="15"/>
    <tableColumn id="4" name="Odometer Start" dataDxfId="14"/>
    <tableColumn id="5" name="Odometer End" dataDxfId="13"/>
    <tableColumn id="6" name="Mileage" dataDxfId="12">
      <calculatedColumnFormula>MileageLog[[#This Row],[Odometer End]]-MileageLog[[#This Row],[Odometer Start]]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Attorneys" displayName="Attorneys" ref="A1:D116" totalsRowShown="0" headerRowDxfId="11" dataDxfId="10" tableBorderDxfId="9">
  <autoFilter ref="A1:D116"/>
  <sortState ref="A2:D116">
    <sortCondition ref="A1:A116"/>
  </sortState>
  <tableColumns count="4">
    <tableColumn id="1" name="Attorney Table" dataDxfId="8"/>
    <tableColumn id="2" name="First" dataDxfId="7">
      <calculatedColumnFormula>MID(A2,FIND(",",A2)+2,256)</calculatedColumnFormula>
    </tableColumn>
    <tableColumn id="3" name="Last" dataDxfId="6">
      <calculatedColumnFormula>LEFT(A2,(FIND(",",A2,1)-1))</calculatedColumnFormula>
    </tableColumn>
    <tableColumn id="4" name="Email" dataDxfId="5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control" Target="../activeX/activeX15.xml"/><Relationship Id="rId18" Type="http://schemas.openxmlformats.org/officeDocument/2006/relationships/image" Target="../media/image16.emf"/><Relationship Id="rId26" Type="http://schemas.openxmlformats.org/officeDocument/2006/relationships/image" Target="../media/image20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19.x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control" Target="../activeX/activeX17.xml"/><Relationship Id="rId25" Type="http://schemas.openxmlformats.org/officeDocument/2006/relationships/control" Target="../activeX/activeX21.xml"/><Relationship Id="rId2" Type="http://schemas.openxmlformats.org/officeDocument/2006/relationships/drawing" Target="../drawings/drawing2.xml"/><Relationship Id="rId16" Type="http://schemas.openxmlformats.org/officeDocument/2006/relationships/image" Target="../media/image15.emf"/><Relationship Id="rId20" Type="http://schemas.openxmlformats.org/officeDocument/2006/relationships/image" Target="../media/image17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24" Type="http://schemas.openxmlformats.org/officeDocument/2006/relationships/image" Target="../media/image19.emf"/><Relationship Id="rId5" Type="http://schemas.openxmlformats.org/officeDocument/2006/relationships/image" Target="../media/image10.emf"/><Relationship Id="rId15" Type="http://schemas.openxmlformats.org/officeDocument/2006/relationships/control" Target="../activeX/activeX16.xml"/><Relationship Id="rId23" Type="http://schemas.openxmlformats.org/officeDocument/2006/relationships/control" Target="../activeX/activeX20.xml"/><Relationship Id="rId10" Type="http://schemas.openxmlformats.org/officeDocument/2006/relationships/control" Target="../activeX/activeX13.xml"/><Relationship Id="rId19" Type="http://schemas.openxmlformats.org/officeDocument/2006/relationships/control" Target="../activeX/activeX18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image" Target="../media/image14.emf"/><Relationship Id="rId22" Type="http://schemas.openxmlformats.org/officeDocument/2006/relationships/image" Target="../media/image18.emf"/><Relationship Id="rId27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image" Target="../media/image21.emf"/><Relationship Id="rId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image" Target="../media/image22.emf"/><Relationship Id="rId4" Type="http://schemas.openxmlformats.org/officeDocument/2006/relationships/control" Target="../activeX/activeX2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jjohnsto@csus.edu" TargetMode="External"/><Relationship Id="rId2" Type="http://schemas.openxmlformats.org/officeDocument/2006/relationships/hyperlink" Target="mailto:courtliaison@citrusheights.net" TargetMode="External"/><Relationship Id="rId1" Type="http://schemas.openxmlformats.org/officeDocument/2006/relationships/hyperlink" Target="mailto:egpdsubpoenas@elkgrovepd.org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mailto:courtliaison@losrios.edu" TargetMode="External"/><Relationship Id="rId4" Type="http://schemas.openxmlformats.org/officeDocument/2006/relationships/hyperlink" Target="mailto:ler2@t-mobile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InouyePe@saccounty.net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stigationLog"/>
  <dimension ref="A1:AM140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" sqref="A5"/>
    </sheetView>
  </sheetViews>
  <sheetFormatPr defaultColWidth="9.140625" defaultRowHeight="15"/>
  <cols>
    <col min="1" max="1" width="12.7109375" style="39" customWidth="1"/>
    <col min="2" max="2" width="12.85546875" style="2" customWidth="1"/>
    <col min="3" max="3" width="24.140625" style="3" customWidth="1"/>
    <col min="4" max="4" width="13.42578125" style="3" customWidth="1"/>
    <col min="5" max="5" width="17.28515625" style="3" customWidth="1"/>
    <col min="6" max="6" width="17.42578125" style="35" bestFit="1" customWidth="1"/>
    <col min="7" max="7" width="17.5703125" style="3" customWidth="1"/>
    <col min="8" max="9" width="27.7109375" style="3" customWidth="1"/>
    <col min="10" max="10" width="19.85546875" style="3" bestFit="1" customWidth="1"/>
    <col min="11" max="11" width="14.140625" style="3" customWidth="1"/>
    <col min="12" max="13" width="14.5703125" style="3" customWidth="1"/>
    <col min="14" max="14" width="15.85546875" style="3" customWidth="1"/>
    <col min="15" max="15" width="14.5703125" style="3" customWidth="1"/>
    <col min="16" max="16" width="62.5703125" style="3" customWidth="1"/>
    <col min="17" max="18" width="14.5703125" style="3" customWidth="1"/>
    <col min="19" max="19" width="22.85546875" style="3" customWidth="1"/>
    <col min="20" max="20" width="17.140625" style="3" customWidth="1"/>
    <col min="21" max="34" width="9.140625" style="3"/>
    <col min="35" max="35" width="10.140625" style="3" customWidth="1"/>
    <col min="36" max="16384" width="9.140625" style="3"/>
  </cols>
  <sheetData>
    <row r="1" spans="1:39" ht="54" customHeight="1">
      <c r="E1" s="34" t="str">
        <f>"INVESTIGATION LOG - " &amp; Files!B20</f>
        <v>INVESTIGATION LOG - New User</v>
      </c>
    </row>
    <row r="2" spans="1:39" ht="60.75" thickBot="1">
      <c r="A2" s="78" t="s">
        <v>3</v>
      </c>
      <c r="B2" s="79" t="s">
        <v>0</v>
      </c>
      <c r="C2" s="5" t="s">
        <v>1</v>
      </c>
      <c r="D2" s="5" t="s">
        <v>4</v>
      </c>
      <c r="E2" s="5" t="s">
        <v>231</v>
      </c>
      <c r="F2" s="80" t="s">
        <v>235</v>
      </c>
      <c r="G2" s="5" t="s">
        <v>230</v>
      </c>
      <c r="H2" s="5" t="s">
        <v>2</v>
      </c>
      <c r="I2" s="5" t="s">
        <v>15</v>
      </c>
      <c r="J2" s="79" t="s">
        <v>232</v>
      </c>
      <c r="K2" s="5" t="s">
        <v>233</v>
      </c>
      <c r="L2" s="81" t="s">
        <v>5</v>
      </c>
      <c r="M2" s="5" t="s">
        <v>13</v>
      </c>
      <c r="N2" s="5" t="s">
        <v>29</v>
      </c>
      <c r="O2" s="5" t="s">
        <v>192</v>
      </c>
      <c r="P2" s="5" t="s">
        <v>6</v>
      </c>
      <c r="Q2" s="5" t="s">
        <v>16</v>
      </c>
      <c r="R2" s="5" t="s">
        <v>18</v>
      </c>
      <c r="S2" s="5" t="s">
        <v>17</v>
      </c>
      <c r="T2" s="5" t="s">
        <v>7</v>
      </c>
      <c r="U2" s="5" t="s">
        <v>8</v>
      </c>
      <c r="V2" s="5" t="s">
        <v>72</v>
      </c>
      <c r="W2" s="5" t="s">
        <v>27</v>
      </c>
      <c r="X2" s="5" t="s">
        <v>28</v>
      </c>
      <c r="Y2" s="5" t="s">
        <v>70</v>
      </c>
      <c r="Z2" s="5" t="s">
        <v>71</v>
      </c>
      <c r="AA2" s="5" t="s">
        <v>140</v>
      </c>
      <c r="AB2" s="5" t="s">
        <v>141</v>
      </c>
      <c r="AC2" s="5" t="s">
        <v>142</v>
      </c>
      <c r="AD2" s="5" t="s">
        <v>77</v>
      </c>
      <c r="AE2" s="5" t="s">
        <v>179</v>
      </c>
      <c r="AF2" s="5" t="s">
        <v>180</v>
      </c>
      <c r="AG2" s="5" t="s">
        <v>181</v>
      </c>
      <c r="AH2" s="5" t="s">
        <v>182</v>
      </c>
      <c r="AI2" s="5" t="s">
        <v>183</v>
      </c>
      <c r="AJ2" s="5" t="s">
        <v>9</v>
      </c>
      <c r="AK2" s="5" t="s">
        <v>10</v>
      </c>
      <c r="AL2" s="5" t="s">
        <v>11</v>
      </c>
      <c r="AM2" s="5" t="s">
        <v>12</v>
      </c>
    </row>
    <row r="3" spans="1:39">
      <c r="A3" s="39" t="s">
        <v>185</v>
      </c>
      <c r="B3" s="2">
        <v>42458</v>
      </c>
      <c r="C3" s="3" t="s">
        <v>188</v>
      </c>
      <c r="D3" s="34">
        <v>99999</v>
      </c>
      <c r="E3" s="3" t="s">
        <v>210</v>
      </c>
      <c r="F3" s="35">
        <v>10959</v>
      </c>
      <c r="G3" s="2">
        <v>45767</v>
      </c>
      <c r="H3" s="3" t="s">
        <v>211</v>
      </c>
      <c r="L3" s="3" t="s">
        <v>199</v>
      </c>
      <c r="Z3" s="3">
        <v>1</v>
      </c>
    </row>
    <row r="4" spans="1:39">
      <c r="A4" s="39" t="s">
        <v>209</v>
      </c>
      <c r="B4" s="2">
        <v>42516</v>
      </c>
      <c r="C4" s="3" t="s">
        <v>456</v>
      </c>
      <c r="D4" s="34">
        <v>99999</v>
      </c>
      <c r="E4" s="3" t="s">
        <v>210</v>
      </c>
      <c r="F4" s="35">
        <v>10959</v>
      </c>
      <c r="G4" s="2">
        <v>45767</v>
      </c>
      <c r="H4" s="3" t="s">
        <v>211</v>
      </c>
      <c r="I4" s="3" t="s">
        <v>194</v>
      </c>
      <c r="L4" s="3" t="s">
        <v>199</v>
      </c>
      <c r="Z4" s="3">
        <v>5</v>
      </c>
      <c r="AA4" s="3">
        <v>2</v>
      </c>
      <c r="AC4" s="8"/>
    </row>
    <row r="5" spans="1:39">
      <c r="A5" s="39" t="s">
        <v>453</v>
      </c>
      <c r="B5" s="2">
        <v>42642</v>
      </c>
      <c r="C5" s="3" t="s">
        <v>454</v>
      </c>
      <c r="D5" s="34">
        <v>999999</v>
      </c>
      <c r="E5" s="3" t="s">
        <v>212</v>
      </c>
      <c r="F5" s="35">
        <v>43408.708333333336</v>
      </c>
      <c r="H5" s="3" t="s">
        <v>215</v>
      </c>
      <c r="I5" s="3" t="s">
        <v>455</v>
      </c>
      <c r="J5" s="2">
        <v>42682</v>
      </c>
      <c r="K5" s="3" t="s">
        <v>214</v>
      </c>
      <c r="L5" s="3" t="s">
        <v>199</v>
      </c>
      <c r="M5" s="3" t="s">
        <v>14</v>
      </c>
      <c r="N5" s="3">
        <v>1</v>
      </c>
      <c r="O5" s="3" t="s">
        <v>213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C5" s="8"/>
      <c r="AE5" s="3">
        <v>2</v>
      </c>
      <c r="AF5" s="3">
        <v>1</v>
      </c>
      <c r="AG5" s="3">
        <v>1</v>
      </c>
      <c r="AH5" s="3">
        <v>0</v>
      </c>
      <c r="AI5" s="3">
        <v>0</v>
      </c>
    </row>
    <row r="122" spans="31:35">
      <c r="AE122" s="3">
        <v>0</v>
      </c>
      <c r="AF122" s="3">
        <v>0</v>
      </c>
      <c r="AG122" s="3">
        <v>1</v>
      </c>
      <c r="AH122" s="3">
        <v>0</v>
      </c>
      <c r="AI122" s="3">
        <v>0</v>
      </c>
    </row>
    <row r="129" spans="31:35">
      <c r="AE129" s="3">
        <v>2</v>
      </c>
      <c r="AF129" s="3">
        <v>0</v>
      </c>
      <c r="AG129" s="3">
        <v>0</v>
      </c>
      <c r="AH129" s="3">
        <v>0</v>
      </c>
      <c r="AI129" s="3">
        <v>0</v>
      </c>
    </row>
    <row r="130" spans="31:35">
      <c r="AE130" s="3">
        <v>3</v>
      </c>
      <c r="AF130" s="3">
        <v>0</v>
      </c>
      <c r="AG130" s="3">
        <v>0</v>
      </c>
      <c r="AH130" s="3">
        <v>0</v>
      </c>
      <c r="AI130" s="3">
        <v>0</v>
      </c>
    </row>
    <row r="132" spans="31:35">
      <c r="AE132" s="3">
        <v>3</v>
      </c>
      <c r="AF132" s="3">
        <v>0</v>
      </c>
      <c r="AG132" s="3">
        <v>0</v>
      </c>
      <c r="AH132" s="3">
        <v>0</v>
      </c>
      <c r="AI132" s="3">
        <v>0</v>
      </c>
    </row>
    <row r="136" spans="31:35">
      <c r="AE136" s="3" t="s">
        <v>184</v>
      </c>
    </row>
    <row r="137" spans="31:35">
      <c r="AE137" s="3">
        <v>3</v>
      </c>
      <c r="AF137" s="3">
        <v>0</v>
      </c>
      <c r="AG137" s="3">
        <v>0</v>
      </c>
      <c r="AH137" s="3">
        <v>0</v>
      </c>
      <c r="AI137" s="3">
        <v>0</v>
      </c>
    </row>
    <row r="139" spans="31:35">
      <c r="AE139" s="3">
        <v>2</v>
      </c>
      <c r="AF139" s="3">
        <v>0</v>
      </c>
      <c r="AG139" s="3">
        <v>0</v>
      </c>
      <c r="AH139" s="3">
        <v>0</v>
      </c>
      <c r="AI139" s="3">
        <v>0</v>
      </c>
    </row>
    <row r="140" spans="31:35">
      <c r="AE140" s="3">
        <v>2</v>
      </c>
      <c r="AF140" s="3">
        <v>0</v>
      </c>
      <c r="AG140" s="3">
        <v>0</v>
      </c>
      <c r="AH140" s="3">
        <v>1</v>
      </c>
      <c r="AI140" s="3">
        <v>0</v>
      </c>
    </row>
  </sheetData>
  <sheetProtection sheet="1" objects="1" scenarios="1"/>
  <dataConsolidate/>
  <conditionalFormatting sqref="A3:AI5">
    <cfRule type="expression" dxfId="134" priority="2">
      <formula>AND($F3&lt;=NOW(),$G3="",$A3&lt;&gt;"")</formula>
    </cfRule>
    <cfRule type="expression" dxfId="133" priority="3">
      <formula>AND($F3&lt;=TODAY()+2.5,$G3="",$A3&lt;&gt;"")</formula>
    </cfRule>
  </conditionalFormatting>
  <conditionalFormatting sqref="F3:F5">
    <cfRule type="expression" dxfId="132" priority="7">
      <formula>HOUR($F3)=17</formula>
    </cfRule>
  </conditionalFormatting>
  <conditionalFormatting sqref="A3:A5">
    <cfRule type="expression" dxfId="131" priority="8">
      <formula>$M3="Yes"</formula>
    </cfRule>
  </conditionalFormatting>
  <conditionalFormatting sqref="C3:C5">
    <cfRule type="expression" dxfId="130" priority="1">
      <formula>AND($L3 = "Re-Open", $G3="")</formula>
    </cfRule>
  </conditionalFormatting>
  <dataValidations count="1">
    <dataValidation type="custom" allowBlank="1" showInputMessage="1" showErrorMessage="1" errorTitle="Duplicate Docket" error="You have entered a docket that already exists.  Either re-open the case, or check for errors in the investigation request." sqref="A3:A5">
      <formula1>COUNTIF($A:$A,A3)=1</formula1>
    </dataValidation>
  </dataValidation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8" r:id="rId4" name="cmdEnterAction">
          <controlPr defaultSize="0" autoLine="0" r:id="rId5">
            <anchor moveWithCells="1">
              <from>
                <xdr:col>3</xdr:col>
                <xdr:colOff>266700</xdr:colOff>
                <xdr:row>0</xdr:row>
                <xdr:rowOff>114300</xdr:rowOff>
              </from>
              <to>
                <xdr:col>4</xdr:col>
                <xdr:colOff>676275</xdr:colOff>
                <xdr:row>0</xdr:row>
                <xdr:rowOff>476250</xdr:rowOff>
              </to>
            </anchor>
          </controlPr>
        </control>
      </mc:Choice>
      <mc:Fallback>
        <control shapeId="1038" r:id="rId4" name="cmdEnterAction"/>
      </mc:Fallback>
    </mc:AlternateContent>
    <mc:AlternateContent xmlns:mc="http://schemas.openxmlformats.org/markup-compatibility/2006">
      <mc:Choice Requires="x14">
        <control shapeId="1033" r:id="rId6" name="cboClientLocate">
          <controlPr defaultSize="0" autoLine="0" r:id="rId7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3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1033" r:id="rId6" name="cboClientLocate"/>
      </mc:Fallback>
    </mc:AlternateContent>
    <mc:AlternateContent xmlns:mc="http://schemas.openxmlformats.org/markup-compatibility/2006">
      <mc:Choice Requires="x14">
        <control shapeId="1027" r:id="rId8" name="cmdReport">
          <controlPr defaultSize="0" autoLine="0" r:id="rId9">
            <anchor moveWithCells="1">
              <from>
                <xdr:col>4</xdr:col>
                <xdr:colOff>847725</xdr:colOff>
                <xdr:row>0</xdr:row>
                <xdr:rowOff>114300</xdr:rowOff>
              </from>
              <to>
                <xdr:col>6</xdr:col>
                <xdr:colOff>800100</xdr:colOff>
                <xdr:row>0</xdr:row>
                <xdr:rowOff>476250</xdr:rowOff>
              </to>
            </anchor>
          </controlPr>
        </control>
      </mc:Choice>
      <mc:Fallback>
        <control shapeId="1027" r:id="rId8" name="cmdReport"/>
      </mc:Fallback>
    </mc:AlternateContent>
    <mc:AlternateContent xmlns:mc="http://schemas.openxmlformats.org/markup-compatibility/2006">
      <mc:Choice Requires="x14">
        <control shapeId="1028" r:id="rId10" name="cmdHide">
          <controlPr defaultSize="0" autoLine="0" r:id="rId11">
            <anchor moveWithCells="1">
              <from>
                <xdr:col>8</xdr:col>
                <xdr:colOff>1257300</xdr:colOff>
                <xdr:row>0</xdr:row>
                <xdr:rowOff>0</xdr:rowOff>
              </from>
              <to>
                <xdr:col>9</xdr:col>
                <xdr:colOff>219075</xdr:colOff>
                <xdr:row>0</xdr:row>
                <xdr:rowOff>361950</xdr:rowOff>
              </to>
            </anchor>
          </controlPr>
        </control>
      </mc:Choice>
      <mc:Fallback>
        <control shapeId="1028" r:id="rId10" name="cmdHide"/>
      </mc:Fallback>
    </mc:AlternateContent>
    <mc:AlternateContent xmlns:mc="http://schemas.openxmlformats.org/markup-compatibility/2006">
      <mc:Choice Requires="x14">
        <control shapeId="1035" r:id="rId12" name="cmdCloseCase">
          <controlPr defaultSize="0" autoLine="0" r:id="rId13">
            <anchor moveWithCells="1">
              <from>
                <xdr:col>6</xdr:col>
                <xdr:colOff>1000125</xdr:colOff>
                <xdr:row>0</xdr:row>
                <xdr:rowOff>114300</xdr:rowOff>
              </from>
              <to>
                <xdr:col>8</xdr:col>
                <xdr:colOff>38100</xdr:colOff>
                <xdr:row>0</xdr:row>
                <xdr:rowOff>476250</xdr:rowOff>
              </to>
            </anchor>
          </controlPr>
        </control>
      </mc:Choice>
      <mc:Fallback>
        <control shapeId="1035" r:id="rId12" name="cmdCloseCase"/>
      </mc:Fallback>
    </mc:AlternateContent>
    <mc:AlternateContent xmlns:mc="http://schemas.openxmlformats.org/markup-compatibility/2006">
      <mc:Choice Requires="x14">
        <control shapeId="1036" r:id="rId14" name="cmdPathChanger">
          <controlPr defaultSize="0" autoLine="0" r:id="rId15">
            <anchor moveWithCells="1">
              <from>
                <xdr:col>8</xdr:col>
                <xdr:colOff>190500</xdr:colOff>
                <xdr:row>0</xdr:row>
                <xdr:rowOff>114300</xdr:rowOff>
              </from>
              <to>
                <xdr:col>8</xdr:col>
                <xdr:colOff>1133475</xdr:colOff>
                <xdr:row>0</xdr:row>
                <xdr:rowOff>476250</xdr:rowOff>
              </to>
            </anchor>
          </controlPr>
        </control>
      </mc:Choice>
      <mc:Fallback>
        <control shapeId="1036" r:id="rId14" name="cmdPathChanger"/>
      </mc:Fallback>
    </mc:AlternateContent>
    <mc:AlternateContent xmlns:mc="http://schemas.openxmlformats.org/markup-compatibility/2006">
      <mc:Choice Requires="x14">
        <control shapeId="1037" r:id="rId16" name="cmdAction">
          <controlPr locked="0" defaultSize="0" autoLine="0" r:id="rId17">
            <anchor moveWithCells="1">
              <from>
                <xdr:col>0</xdr:col>
                <xdr:colOff>104775</xdr:colOff>
                <xdr:row>0</xdr:row>
                <xdr:rowOff>114300</xdr:rowOff>
              </from>
              <to>
                <xdr:col>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1037" r:id="rId16" name="cmdAction"/>
      </mc:Fallback>
    </mc:AlternateContent>
    <mc:AlternateContent xmlns:mc="http://schemas.openxmlformats.org/markup-compatibility/2006">
      <mc:Choice Requires="x14">
        <control shapeId="1040" r:id="rId18" name="togProtection">
          <controlPr defaultSize="0" autoLine="0" r:id="rId19">
            <anchor moveWithCells="1">
              <from>
                <xdr:col>8</xdr:col>
                <xdr:colOff>1266825</xdr:colOff>
                <xdr:row>0</xdr:row>
                <xdr:rowOff>333375</xdr:rowOff>
              </from>
              <to>
                <xdr:col>9</xdr:col>
                <xdr:colOff>228600</xdr:colOff>
                <xdr:row>0</xdr:row>
                <xdr:rowOff>666750</xdr:rowOff>
              </to>
            </anchor>
          </controlPr>
        </control>
      </mc:Choice>
      <mc:Fallback>
        <control shapeId="1040" r:id="rId18" name="togProtection"/>
      </mc:Fallback>
    </mc:AlternateContent>
    <mc:AlternateContent xmlns:mc="http://schemas.openxmlformats.org/markup-compatibility/2006">
      <mc:Choice Requires="x14">
        <control shapeId="1041" r:id="rId20" name="cmdEditCase">
          <controlPr defaultSize="0" autoLine="0" r:id="rId21">
            <anchor moveWithCells="1">
              <from>
                <xdr:col>0</xdr:col>
                <xdr:colOff>47625</xdr:colOff>
                <xdr:row>0</xdr:row>
                <xdr:rowOff>38100</xdr:rowOff>
              </from>
              <to>
                <xdr:col>2</xdr:col>
                <xdr:colOff>676275</xdr:colOff>
                <xdr:row>0</xdr:row>
                <xdr:rowOff>523875</xdr:rowOff>
              </to>
            </anchor>
          </controlPr>
        </control>
      </mc:Choice>
      <mc:Fallback>
        <control shapeId="1041" r:id="rId20" name="cmdEditCase"/>
      </mc:Fallback>
    </mc:AlternateContent>
  </controls>
  <tableParts count="1"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seLogs">
    <pageSetUpPr fitToPage="1"/>
  </sheetPr>
  <dimension ref="A1:J5"/>
  <sheetViews>
    <sheetView zoomScaleNormal="100" workbookViewId="0">
      <pane ySplit="3" topLeftCell="A4" activePane="bottomLeft" state="frozen"/>
      <selection pane="bottomLeft" activeCell="B5" sqref="B5:D5"/>
    </sheetView>
  </sheetViews>
  <sheetFormatPr defaultRowHeight="15.75"/>
  <cols>
    <col min="1" max="1" width="18.5703125" style="44" bestFit="1" customWidth="1"/>
    <col min="2" max="2" width="12.5703125" style="22" bestFit="1" customWidth="1"/>
    <col min="3" max="3" width="11" style="21" bestFit="1" customWidth="1"/>
    <col min="4" max="4" width="80.140625" style="6" customWidth="1"/>
    <col min="5" max="5" width="12.5703125" style="21" customWidth="1"/>
    <col min="6" max="6" width="19.28515625" style="3" bestFit="1" customWidth="1"/>
    <col min="7" max="7" width="15" style="1" bestFit="1" customWidth="1"/>
    <col min="8" max="10" width="9.140625" style="1"/>
  </cols>
  <sheetData>
    <row r="1" spans="1:10" s="3" customFormat="1">
      <c r="A1" s="44"/>
      <c r="B1" s="22"/>
      <c r="C1" s="21"/>
      <c r="D1" s="9"/>
      <c r="E1" s="21"/>
      <c r="G1" s="1"/>
      <c r="H1" s="1"/>
      <c r="I1" s="1"/>
      <c r="J1" s="1"/>
    </row>
    <row r="2" spans="1:10" s="3" customFormat="1">
      <c r="A2" s="44"/>
      <c r="B2" s="22"/>
      <c r="C2" s="21"/>
      <c r="D2" s="9"/>
      <c r="E2" s="21"/>
      <c r="G2" s="1"/>
      <c r="H2" s="1"/>
      <c r="I2" s="1"/>
      <c r="J2" s="1"/>
    </row>
    <row r="3" spans="1:10">
      <c r="A3" s="44" t="s">
        <v>44</v>
      </c>
      <c r="B3" s="23" t="s">
        <v>20</v>
      </c>
      <c r="C3" s="24" t="s">
        <v>21</v>
      </c>
      <c r="D3" s="7" t="s">
        <v>30</v>
      </c>
      <c r="E3" s="24" t="s">
        <v>31</v>
      </c>
      <c r="F3" s="3" t="s">
        <v>32</v>
      </c>
      <c r="G3" s="1" t="s">
        <v>78</v>
      </c>
      <c r="H3" s="25" t="s">
        <v>92</v>
      </c>
      <c r="I3" s="25" t="s">
        <v>93</v>
      </c>
      <c r="J3" s="25" t="s">
        <v>94</v>
      </c>
    </row>
    <row r="4" spans="1:10">
      <c r="A4" s="44" t="s">
        <v>185</v>
      </c>
      <c r="B4" s="22">
        <v>42458</v>
      </c>
      <c r="C4" s="74">
        <v>0.56319444444444444</v>
      </c>
      <c r="D4" s="6" t="s">
        <v>186</v>
      </c>
      <c r="F4" s="8" t="str">
        <f ca="1">IFERROR(INDEX(Clients,(MATCH(A4,Cases,0))),"-")</f>
        <v>Duties, Admin</v>
      </c>
      <c r="G4" s="1" t="s">
        <v>187</v>
      </c>
      <c r="J4" s="31">
        <v>0</v>
      </c>
    </row>
    <row r="5" spans="1:10">
      <c r="A5" s="44" t="s">
        <v>453</v>
      </c>
      <c r="B5" s="75">
        <v>42642</v>
      </c>
      <c r="C5" s="76">
        <v>0.65555555555555556</v>
      </c>
      <c r="D5" s="7" t="s">
        <v>186</v>
      </c>
      <c r="E5" s="77">
        <v>15</v>
      </c>
      <c r="F5" s="8" t="str">
        <f ca="1">IFERROR(INDEX(Clients,(MATCH(A5,Cases,0))),"-")</f>
        <v>Practice, Just For</v>
      </c>
      <c r="G5" s="1" t="s">
        <v>187</v>
      </c>
      <c r="J5" s="31">
        <v>0</v>
      </c>
    </row>
  </sheetData>
  <sortState ref="A4:J25">
    <sortCondition ref="B4:B25"/>
    <sortCondition ref="C4:C25"/>
  </sortState>
  <dataConsolidate/>
  <conditionalFormatting sqref="D1:D3 D6:D1048576">
    <cfRule type="containsText" dxfId="54" priority="2" operator="containsText" text="Received and reviewed supplemental">
      <formula>NOT(ISERROR(SEARCH("Received and reviewed supplemental",D1)))</formula>
    </cfRule>
  </conditionalFormatting>
  <conditionalFormatting sqref="D4:D5">
    <cfRule type="containsText" dxfId="53" priority="1" operator="containsText" text="Received and reviewed supplemental">
      <formula>NOT(ISERROR(SEARCH("Received and reviewed supplemental",D4)))</formula>
    </cfRule>
  </conditionalFormatting>
  <dataValidations count="2">
    <dataValidation type="time" allowBlank="1" showInputMessage="1" showErrorMessage="1" sqref="C1:C4 C6:C1048576">
      <formula1>0</formula1>
      <formula2>0.999305555555556</formula2>
    </dataValidation>
    <dataValidation type="list" allowBlank="1" showDropDown="1" showInputMessage="1" showErrorMessage="1" sqref="A1:A1048576">
      <formula1>Cases</formula1>
    </dataValidation>
  </dataValidations>
  <pageMargins left="0.7" right="0.7" top="0.75" bottom="0.75" header="0.3" footer="0.3"/>
  <pageSetup scale="87" orientation="portrait" r:id="rId1"/>
  <headerFooter>
    <oddHeader>&amp;C&amp;16 &amp;bAction Log Draft for Practice, Just For&amp;RPrinted: 10/14/2016&amp;L&amp;12 &amp;b10F12345</oddHeader>
  </headerFooter>
  <colBreaks count="1" manualBreakCount="1">
    <brk id="6" max="1048575" man="1"/>
  </colBreaks>
  <drawing r:id="rId2"/>
  <legacyDrawing r:id="rId3"/>
  <controls>
    <mc:AlternateContent xmlns:mc="http://schemas.openxmlformats.org/markup-compatibility/2006">
      <mc:Choice Requires="x14">
        <control shapeId="2068" r:id="rId4" name="cmdPrintActionDraft">
          <controlPr defaultSize="0" autoLine="0" r:id="rId5">
            <anchor moveWithCells="1">
              <from>
                <xdr:col>3</xdr:col>
                <xdr:colOff>4114800</xdr:colOff>
                <xdr:row>0</xdr:row>
                <xdr:rowOff>57150</xdr:rowOff>
              </from>
              <to>
                <xdr:col>3</xdr:col>
                <xdr:colOff>4800600</xdr:colOff>
                <xdr:row>1</xdr:row>
                <xdr:rowOff>180975</xdr:rowOff>
              </to>
            </anchor>
          </controlPr>
        </control>
      </mc:Choice>
      <mc:Fallback>
        <control shapeId="2068" r:id="rId4" name="cmdPrintActionDraft"/>
      </mc:Fallback>
    </mc:AlternateContent>
    <mc:AlternateContent xmlns:mc="http://schemas.openxmlformats.org/markup-compatibility/2006">
      <mc:Choice Requires="x14">
        <control shapeId="2067" r:id="rId6" name="cmdEnterActionCaseSheet">
          <controlPr defaultSize="0" autoLine="0" r:id="rId7">
            <anchor moveWithCells="1">
              <from>
                <xdr:col>3</xdr:col>
                <xdr:colOff>3067050</xdr:colOff>
                <xdr:row>0</xdr:row>
                <xdr:rowOff>57150</xdr:rowOff>
              </from>
              <to>
                <xdr:col>3</xdr:col>
                <xdr:colOff>4057650</xdr:colOff>
                <xdr:row>1</xdr:row>
                <xdr:rowOff>180975</xdr:rowOff>
              </to>
            </anchor>
          </controlPr>
        </control>
      </mc:Choice>
      <mc:Fallback>
        <control shapeId="2067" r:id="rId6" name="cmdEnterActionCaseSheet"/>
      </mc:Fallback>
    </mc:AlternateContent>
    <mc:AlternateContent xmlns:mc="http://schemas.openxmlformats.org/markup-compatibility/2006">
      <mc:Choice Requires="x14">
        <control shapeId="2066" r:id="rId8" name="cmdMileageInc">
          <controlPr autoLine="0" r:id="rId9">
            <anchor moveWithCells="1">
              <from>
                <xdr:col>6</xdr:col>
                <xdr:colOff>85725</xdr:colOff>
                <xdr:row>0</xdr:row>
                <xdr:rowOff>47625</xdr:rowOff>
              </from>
              <to>
                <xdr:col>7</xdr:col>
                <xdr:colOff>276225</xdr:colOff>
                <xdr:row>1</xdr:row>
                <xdr:rowOff>171450</xdr:rowOff>
              </to>
            </anchor>
          </controlPr>
        </control>
      </mc:Choice>
      <mc:Fallback>
        <control shapeId="2066" r:id="rId8" name="cmdMileageInc"/>
      </mc:Fallback>
    </mc:AlternateContent>
    <mc:AlternateContent xmlns:mc="http://schemas.openxmlformats.org/markup-compatibility/2006">
      <mc:Choice Requires="x14">
        <control shapeId="2061" r:id="rId10" name="cmdNow">
          <controlPr defaultSize="0" autoLine="0" r:id="rId11">
            <anchor moveWithCells="1">
              <from>
                <xdr:col>0</xdr:col>
                <xdr:colOff>57150</xdr:colOff>
                <xdr:row>2</xdr:row>
                <xdr:rowOff>123825</xdr:rowOff>
              </from>
              <to>
                <xdr:col>0</xdr:col>
                <xdr:colOff>95250</xdr:colOff>
                <xdr:row>2</xdr:row>
                <xdr:rowOff>142875</xdr:rowOff>
              </to>
            </anchor>
          </controlPr>
        </control>
      </mc:Choice>
      <mc:Fallback>
        <control shapeId="2061" r:id="rId10" name="cmdNow"/>
      </mc:Fallback>
    </mc:AlternateContent>
    <mc:AlternateContent xmlns:mc="http://schemas.openxmlformats.org/markup-compatibility/2006">
      <mc:Choice Requires="x14">
        <control shapeId="2059" r:id="rId12" name="cmdToday">
          <controlPr defaultSize="0" autoLine="0" r:id="rId11">
            <anchor moveWithCells="1">
              <from>
                <xdr:col>0</xdr:col>
                <xdr:colOff>95250</xdr:colOff>
                <xdr:row>2</xdr:row>
                <xdr:rowOff>123825</xdr:rowOff>
              </from>
              <to>
                <xdr:col>0</xdr:col>
                <xdr:colOff>133350</xdr:colOff>
                <xdr:row>2</xdr:row>
                <xdr:rowOff>142875</xdr:rowOff>
              </to>
            </anchor>
          </controlPr>
        </control>
      </mc:Choice>
      <mc:Fallback>
        <control shapeId="2059" r:id="rId12" name="cmdToday"/>
      </mc:Fallback>
    </mc:AlternateContent>
    <mc:AlternateContent xmlns:mc="http://schemas.openxmlformats.org/markup-compatibility/2006">
      <mc:Choice Requires="x14">
        <control shapeId="2054" r:id="rId13" name="cmdFilterCase">
          <controlPr defaultSize="0" autoLine="0" r:id="rId14">
            <anchor moveWithCells="1">
              <from>
                <xdr:col>3</xdr:col>
                <xdr:colOff>1085850</xdr:colOff>
                <xdr:row>0</xdr:row>
                <xdr:rowOff>47625</xdr:rowOff>
              </from>
              <to>
                <xdr:col>3</xdr:col>
                <xdr:colOff>2038350</xdr:colOff>
                <xdr:row>1</xdr:row>
                <xdr:rowOff>171450</xdr:rowOff>
              </to>
            </anchor>
          </controlPr>
        </control>
      </mc:Choice>
      <mc:Fallback>
        <control shapeId="2054" r:id="rId13" name="cmdFilterCase"/>
      </mc:Fallback>
    </mc:AlternateContent>
    <mc:AlternateContent xmlns:mc="http://schemas.openxmlformats.org/markup-compatibility/2006">
      <mc:Choice Requires="x14">
        <control shapeId="2053" r:id="rId15" name="cmdSortCaseLogs">
          <controlPr defaultSize="0" autoLine="0" r:id="rId16">
            <anchor moveWithCells="1">
              <from>
                <xdr:col>2</xdr:col>
                <xdr:colOff>409575</xdr:colOff>
                <xdr:row>0</xdr:row>
                <xdr:rowOff>47625</xdr:rowOff>
              </from>
              <to>
                <xdr:col>3</xdr:col>
                <xdr:colOff>933450</xdr:colOff>
                <xdr:row>1</xdr:row>
                <xdr:rowOff>171450</xdr:rowOff>
              </to>
            </anchor>
          </controlPr>
        </control>
      </mc:Choice>
      <mc:Fallback>
        <control shapeId="2053" r:id="rId15" name="cmdSortCaseLogs"/>
      </mc:Fallback>
    </mc:AlternateContent>
    <mc:AlternateContent xmlns:mc="http://schemas.openxmlformats.org/markup-compatibility/2006">
      <mc:Choice Requires="x14">
        <control shapeId="2057" r:id="rId17" name="cboClientSearch">
          <controlPr defaultSize="0" autoLine="0" r:id="rId18">
            <anchor moveWithCells="1">
              <from>
                <xdr:col>4</xdr:col>
                <xdr:colOff>685800</xdr:colOff>
                <xdr:row>0</xdr:row>
                <xdr:rowOff>47625</xdr:rowOff>
              </from>
              <to>
                <xdr:col>5</xdr:col>
                <xdr:colOff>1219200</xdr:colOff>
                <xdr:row>1</xdr:row>
                <xdr:rowOff>171450</xdr:rowOff>
              </to>
            </anchor>
          </controlPr>
        </control>
      </mc:Choice>
      <mc:Fallback>
        <control shapeId="2057" r:id="rId17" name="cboClientSearch"/>
      </mc:Fallback>
    </mc:AlternateContent>
    <mc:AlternateContent xmlns:mc="http://schemas.openxmlformats.org/markup-compatibility/2006">
      <mc:Choice Requires="x14">
        <control shapeId="2058" r:id="rId19" name="cmdWitness">
          <controlPr defaultSize="0" autoLine="0" r:id="rId20">
            <anchor moveWithCells="1">
              <from>
                <xdr:col>3</xdr:col>
                <xdr:colOff>4848225</xdr:colOff>
                <xdr:row>0</xdr:row>
                <xdr:rowOff>47625</xdr:rowOff>
              </from>
              <to>
                <xdr:col>4</xdr:col>
                <xdr:colOff>600075</xdr:colOff>
                <xdr:row>1</xdr:row>
                <xdr:rowOff>171450</xdr:rowOff>
              </to>
            </anchor>
          </controlPr>
        </control>
      </mc:Choice>
      <mc:Fallback>
        <control shapeId="2058" r:id="rId19" name="cmdWitness"/>
      </mc:Fallback>
    </mc:AlternateContent>
    <mc:AlternateContent xmlns:mc="http://schemas.openxmlformats.org/markup-compatibility/2006">
      <mc:Choice Requires="x14">
        <control shapeId="2062" r:id="rId21" name="txtDueDate">
          <controlPr defaultSize="0" autoLine="0" r:id="rId22">
            <anchor moveWithCells="1">
              <from>
                <xdr:col>0</xdr:col>
                <xdr:colOff>85725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171450</xdr:rowOff>
              </to>
            </anchor>
          </controlPr>
        </control>
      </mc:Choice>
      <mc:Fallback>
        <control shapeId="2062" r:id="rId21" name="txtDueDate"/>
      </mc:Fallback>
    </mc:AlternateContent>
    <mc:AlternateContent xmlns:mc="http://schemas.openxmlformats.org/markup-compatibility/2006">
      <mc:Choice Requires="x14">
        <control shapeId="2064" r:id="rId23" name="cmdPlus">
          <controlPr autoLine="0" r:id="rId24">
            <anchor moveWithCells="1">
              <from>
                <xdr:col>3</xdr:col>
                <xdr:colOff>2143125</xdr:colOff>
                <xdr:row>0</xdr:row>
                <xdr:rowOff>47625</xdr:rowOff>
              </from>
              <to>
                <xdr:col>3</xdr:col>
                <xdr:colOff>2457450</xdr:colOff>
                <xdr:row>1</xdr:row>
                <xdr:rowOff>171450</xdr:rowOff>
              </to>
            </anchor>
          </controlPr>
        </control>
      </mc:Choice>
      <mc:Fallback>
        <control shapeId="2064" r:id="rId23" name="cmdPlus"/>
      </mc:Fallback>
    </mc:AlternateContent>
    <mc:AlternateContent xmlns:mc="http://schemas.openxmlformats.org/markup-compatibility/2006">
      <mc:Choice Requires="x14">
        <control shapeId="2065" r:id="rId25" name="cmdMinus">
          <controlPr autoLine="0" r:id="rId26">
            <anchor moveWithCells="1">
              <from>
                <xdr:col>3</xdr:col>
                <xdr:colOff>2581275</xdr:colOff>
                <xdr:row>0</xdr:row>
                <xdr:rowOff>47625</xdr:rowOff>
              </from>
              <to>
                <xdr:col>3</xdr:col>
                <xdr:colOff>2895600</xdr:colOff>
                <xdr:row>1</xdr:row>
                <xdr:rowOff>171450</xdr:rowOff>
              </to>
            </anchor>
          </controlPr>
        </control>
      </mc:Choice>
      <mc:Fallback>
        <control shapeId="2065" r:id="rId25" name="cmdMinus"/>
      </mc:Fallback>
    </mc:AlternateContent>
  </controls>
  <tableParts count="1">
    <tablePart r:id="rId2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tnessLog">
    <pageSetUpPr fitToPage="1"/>
  </sheetPr>
  <dimension ref="A1:H3"/>
  <sheetViews>
    <sheetView workbookViewId="0">
      <selection activeCell="E10" sqref="E10"/>
    </sheetView>
  </sheetViews>
  <sheetFormatPr defaultColWidth="9.140625" defaultRowHeight="15"/>
  <cols>
    <col min="1" max="1" width="14.42578125" style="3" customWidth="1"/>
    <col min="2" max="2" width="13.42578125" style="46" customWidth="1"/>
    <col min="3" max="3" width="9.85546875" style="45" customWidth="1"/>
    <col min="4" max="4" width="7.42578125" style="45" customWidth="1"/>
    <col min="5" max="5" width="21.140625" style="45" customWidth="1"/>
    <col min="6" max="6" width="13.42578125" style="46" customWidth="1"/>
    <col min="7" max="7" width="42.42578125" style="45" customWidth="1"/>
    <col min="8" max="8" width="16.140625" style="45" customWidth="1"/>
    <col min="9" max="16384" width="9.140625" style="3"/>
  </cols>
  <sheetData>
    <row r="1" spans="1:8" s="37" customFormat="1" ht="15.75" thickBot="1">
      <c r="A1" s="49" t="s">
        <v>19</v>
      </c>
      <c r="B1" s="50" t="s">
        <v>20</v>
      </c>
      <c r="C1" s="51" t="s">
        <v>21</v>
      </c>
      <c r="D1" s="51" t="s">
        <v>22</v>
      </c>
      <c r="E1" s="51" t="s">
        <v>23</v>
      </c>
      <c r="F1" s="50" t="s">
        <v>24</v>
      </c>
      <c r="G1" s="51" t="s">
        <v>25</v>
      </c>
      <c r="H1" s="51" t="s">
        <v>26</v>
      </c>
    </row>
    <row r="2" spans="1:8">
      <c r="A2" s="3" t="s">
        <v>433</v>
      </c>
      <c r="B2" s="46">
        <v>42614</v>
      </c>
      <c r="C2" s="47">
        <v>0.4145833333333333</v>
      </c>
      <c r="D2" s="45" t="s">
        <v>27</v>
      </c>
      <c r="E2" s="45" t="s">
        <v>439</v>
      </c>
      <c r="F2" s="46">
        <v>25569</v>
      </c>
      <c r="G2" s="45" t="s">
        <v>438</v>
      </c>
      <c r="H2" s="45" t="s">
        <v>384</v>
      </c>
    </row>
    <row r="3" spans="1:8">
      <c r="A3" s="3" t="s">
        <v>433</v>
      </c>
      <c r="B3" s="46">
        <v>42614</v>
      </c>
      <c r="C3" s="47">
        <v>0.4375</v>
      </c>
      <c r="D3" s="45" t="s">
        <v>28</v>
      </c>
      <c r="E3" s="45" t="s">
        <v>239</v>
      </c>
      <c r="F3" s="46">
        <v>25569</v>
      </c>
      <c r="G3" s="45" t="s">
        <v>440</v>
      </c>
      <c r="H3" s="45" t="s">
        <v>441</v>
      </c>
    </row>
  </sheetData>
  <pageMargins left="0.7" right="0.7" top="0.75" bottom="0.75" header="0.3" footer="0.3"/>
  <pageSetup scale="98" orientation="landscape" r:id="rId1"/>
  <headerFooter>
    <oddHeader>&amp;C&amp;16 &amp;bWitness List for Morgan, Stanley&amp;RPrinted: 9/13/2016&amp;L&amp;12 &amp;b2012111333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OD"/>
  <dimension ref="A1:D2"/>
  <sheetViews>
    <sheetView workbookViewId="0">
      <pane ySplit="1" topLeftCell="A2" activePane="bottomLeft" state="frozen"/>
      <selection pane="bottomLeft" activeCell="B14" sqref="B14"/>
    </sheetView>
  </sheetViews>
  <sheetFormatPr defaultRowHeight="15"/>
  <cols>
    <col min="1" max="1" width="32" bestFit="1" customWidth="1"/>
    <col min="2" max="2" width="44.5703125" bestFit="1" customWidth="1"/>
    <col min="3" max="3" width="13" customWidth="1"/>
    <col min="4" max="4" width="10.7109375" style="4" bestFit="1" customWidth="1"/>
  </cols>
  <sheetData>
    <row r="1" spans="1:4" ht="39" customHeight="1">
      <c r="A1" s="15" t="s">
        <v>104</v>
      </c>
      <c r="B1" t="s">
        <v>105</v>
      </c>
      <c r="C1" t="s">
        <v>106</v>
      </c>
      <c r="D1" s="4" t="s">
        <v>20</v>
      </c>
    </row>
    <row r="2" spans="1:4">
      <c r="A2" s="43" t="s">
        <v>226</v>
      </c>
      <c r="B2" s="43" t="s">
        <v>225</v>
      </c>
      <c r="C2" t="s">
        <v>14</v>
      </c>
      <c r="D2" s="4">
        <v>42537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CreateLog">
          <controlPr defaultSize="0" autoLine="0" r:id="rId5">
            <anchor moveWithCells="1">
              <from>
                <xdr:col>4</xdr:col>
                <xdr:colOff>247650</xdr:colOff>
                <xdr:row>0</xdr:row>
                <xdr:rowOff>76200</xdr:rowOff>
              </from>
              <to>
                <xdr:col>7</xdr:col>
                <xdr:colOff>428625</xdr:colOff>
                <xdr:row>0</xdr:row>
                <xdr:rowOff>381000</xdr:rowOff>
              </to>
            </anchor>
          </controlPr>
        </control>
      </mc:Choice>
      <mc:Fallback>
        <control shapeId="4097" r:id="rId4" name="cmdCreateLog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ileageLog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5"/>
  <cols>
    <col min="1" max="1" width="10.7109375" style="4" bestFit="1" customWidth="1"/>
    <col min="2" max="2" width="22.7109375" customWidth="1"/>
    <col min="3" max="3" width="18.42578125" customWidth="1"/>
    <col min="4" max="4" width="18.5703125" customWidth="1"/>
    <col min="5" max="5" width="17.42578125" customWidth="1"/>
    <col min="6" max="6" width="11.5703125" customWidth="1"/>
  </cols>
  <sheetData>
    <row r="1" spans="1:6" ht="31.5" customHeight="1" thickBot="1">
      <c r="A1" s="14" t="s">
        <v>20</v>
      </c>
      <c r="B1" s="12" t="s">
        <v>95</v>
      </c>
      <c r="C1" s="12" t="s">
        <v>44</v>
      </c>
      <c r="D1" s="13" t="s">
        <v>97</v>
      </c>
      <c r="E1" s="13" t="s">
        <v>98</v>
      </c>
      <c r="F1" s="12" t="s">
        <v>96</v>
      </c>
    </row>
    <row r="2" spans="1:6">
      <c r="A2" s="4">
        <v>42592</v>
      </c>
      <c r="B2" s="36" t="s">
        <v>191</v>
      </c>
      <c r="C2" s="36" t="s">
        <v>240</v>
      </c>
      <c r="D2" s="36">
        <v>4</v>
      </c>
      <c r="E2" s="36">
        <v>8</v>
      </c>
      <c r="F2" s="36">
        <f>MileageLog[[#This Row],[Odometer End]]-MileageLog[[#This Row],[Odometer Start]]</f>
        <v>4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mdMileageLog">
          <controlPr defaultSize="0" autoLine="0" r:id="rId5">
            <anchor moveWithCells="1">
              <from>
                <xdr:col>6</xdr:col>
                <xdr:colOff>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361950</xdr:rowOff>
              </to>
            </anchor>
          </controlPr>
        </control>
      </mc:Choice>
      <mc:Fallback>
        <control shapeId="9218" r:id="rId4" name="cmdMileageLog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ttorneys"/>
  <dimension ref="A1:D116"/>
  <sheetViews>
    <sheetView topLeftCell="A79" workbookViewId="0">
      <selection activeCell="A2" sqref="A2:D116"/>
    </sheetView>
  </sheetViews>
  <sheetFormatPr defaultRowHeight="15"/>
  <cols>
    <col min="1" max="1" width="24" customWidth="1"/>
    <col min="2" max="2" width="16.85546875" customWidth="1"/>
    <col min="3" max="3" width="16" customWidth="1"/>
    <col min="4" max="4" width="27.5703125" bestFit="1" customWidth="1"/>
  </cols>
  <sheetData>
    <row r="1" spans="1:4">
      <c r="A1" s="27" t="s">
        <v>143</v>
      </c>
      <c r="B1" s="27" t="s">
        <v>144</v>
      </c>
      <c r="C1" s="27" t="s">
        <v>145</v>
      </c>
      <c r="D1" s="27" t="s">
        <v>146</v>
      </c>
    </row>
    <row r="2" spans="1:4">
      <c r="A2" t="s">
        <v>410</v>
      </c>
      <c r="B2" s="38" t="str">
        <f>MID(A2,FIND(",",A2)+2,256)</f>
        <v>Sara</v>
      </c>
      <c r="C2" s="38" t="str">
        <f>LEFT(A2,(FIND(",",A2,1)-1))</f>
        <v>Bannerman</v>
      </c>
      <c r="D2" t="s">
        <v>385</v>
      </c>
    </row>
    <row r="3" spans="1:4">
      <c r="A3" t="s">
        <v>241</v>
      </c>
      <c r="B3" s="38" t="str">
        <f>MID(A3,FIND(",",A3)+2,256)</f>
        <v>Jeffrey</v>
      </c>
      <c r="C3" s="38" t="str">
        <f>LEFT(A3,(FIND(",",A3,1)-1))</f>
        <v>Barbour</v>
      </c>
      <c r="D3" t="s">
        <v>298</v>
      </c>
    </row>
    <row r="4" spans="1:4">
      <c r="A4" t="s">
        <v>411</v>
      </c>
      <c r="B4" s="26" t="str">
        <f>MID(A4,FIND(",",A4)+2,256)</f>
        <v>Sally</v>
      </c>
      <c r="C4" s="26" t="str">
        <f>LEFT(A4,(FIND(",",A4,1)-1))</f>
        <v>Barron</v>
      </c>
      <c r="D4" t="s">
        <v>386</v>
      </c>
    </row>
    <row r="5" spans="1:4">
      <c r="A5" t="s">
        <v>242</v>
      </c>
      <c r="B5" s="38" t="str">
        <f>MID(A5,FIND(",",A5)+2,256)</f>
        <v>Amanda</v>
      </c>
      <c r="C5" s="38" t="str">
        <f>LEFT(A5,(FIND(",",A5,1)-1))</f>
        <v>Benson</v>
      </c>
      <c r="D5" t="s">
        <v>299</v>
      </c>
    </row>
    <row r="6" spans="1:4">
      <c r="A6" t="s">
        <v>412</v>
      </c>
      <c r="B6" s="26" t="str">
        <f>MID(A6,FIND(",",A6)+2,256)</f>
        <v>Richard</v>
      </c>
      <c r="C6" s="26" t="str">
        <f>LEFT(A6,(FIND(",",A6,1)-1))</f>
        <v>Berson</v>
      </c>
      <c r="D6" t="s">
        <v>300</v>
      </c>
    </row>
    <row r="7" spans="1:4">
      <c r="A7" t="s">
        <v>243</v>
      </c>
      <c r="B7" s="38" t="str">
        <f>MID(A7,FIND(",",A7)+2,256)</f>
        <v>Arthur</v>
      </c>
      <c r="C7" s="38" t="str">
        <f>LEFT(A7,(FIND(",",A7,1)-1))</f>
        <v>Bowie</v>
      </c>
      <c r="D7" t="s">
        <v>301</v>
      </c>
    </row>
    <row r="8" spans="1:4">
      <c r="A8" t="s">
        <v>244</v>
      </c>
      <c r="B8" s="26" t="str">
        <f>MID(A8,FIND(",",A8)+2,256)</f>
        <v>John</v>
      </c>
      <c r="C8" s="26" t="str">
        <f>LEFT(A8,(FIND(",",A8,1)-1))</f>
        <v>Buchholz</v>
      </c>
      <c r="D8" t="s">
        <v>302</v>
      </c>
    </row>
    <row r="9" spans="1:4">
      <c r="A9" t="s">
        <v>216</v>
      </c>
      <c r="B9" s="38" t="str">
        <f>MID(A9,FIND(",",A9)+2,256)</f>
        <v>Ashley</v>
      </c>
      <c r="C9" s="38" t="str">
        <f>LEFT(A9,(FIND(",",A9,1)-1))</f>
        <v>Burg</v>
      </c>
      <c r="D9" t="s">
        <v>303</v>
      </c>
    </row>
    <row r="10" spans="1:4">
      <c r="A10" t="s">
        <v>223</v>
      </c>
      <c r="B10" s="26" t="str">
        <f>MID(A10,FIND(",",A10)+2,256)</f>
        <v>Noel</v>
      </c>
      <c r="C10" s="26" t="str">
        <f>LEFT(A10,(FIND(",",A10,1)-1))</f>
        <v>Calvillo</v>
      </c>
      <c r="D10" t="s">
        <v>387</v>
      </c>
    </row>
    <row r="11" spans="1:4">
      <c r="A11" t="s">
        <v>245</v>
      </c>
      <c r="B11" s="38" t="str">
        <f>MID(A11,FIND(",",A11)+2,256)</f>
        <v>Katherine</v>
      </c>
      <c r="C11" s="38" t="str">
        <f>LEFT(A11,(FIND(",",A11,1)-1))</f>
        <v>Carlson</v>
      </c>
      <c r="D11" t="s">
        <v>304</v>
      </c>
    </row>
    <row r="12" spans="1:4">
      <c r="A12" t="s">
        <v>413</v>
      </c>
      <c r="B12" s="26" t="str">
        <f>MID(A12,FIND(",",A12)+2,256)</f>
        <v>Lindsey</v>
      </c>
      <c r="C12" s="26" t="str">
        <f>LEFT(A12,(FIND(",",A12,1)-1))</f>
        <v>Cerny</v>
      </c>
      <c r="D12" t="s">
        <v>388</v>
      </c>
    </row>
    <row r="13" spans="1:4">
      <c r="A13" t="s">
        <v>246</v>
      </c>
      <c r="B13" s="26" t="str">
        <f>MID(A13,FIND(",",A13)+2,256)</f>
        <v>Jennifer</v>
      </c>
      <c r="C13" s="26" t="str">
        <f>LEFT(A13,(FIND(",",A13,1)-1))</f>
        <v>Cerri</v>
      </c>
      <c r="D13" t="s">
        <v>305</v>
      </c>
    </row>
    <row r="14" spans="1:4">
      <c r="A14" t="s">
        <v>247</v>
      </c>
      <c r="B14" s="26" t="str">
        <f>MID(A14,FIND(",",A14)+2,256)</f>
        <v>Ronald</v>
      </c>
      <c r="C14" s="26" t="str">
        <f>LEFT(A14,(FIND(",",A14,1)-1))</f>
        <v>Chan</v>
      </c>
      <c r="D14" t="s">
        <v>306</v>
      </c>
    </row>
    <row r="15" spans="1:4">
      <c r="A15" t="s">
        <v>147</v>
      </c>
      <c r="B15" s="38" t="str">
        <f>MID(A15,FIND(",",A15)+2,256)</f>
        <v>Carrie</v>
      </c>
      <c r="C15" s="38" t="str">
        <f>LEFT(A15,(FIND(",",A15,1)-1))</f>
        <v>Claremon</v>
      </c>
      <c r="D15" t="s">
        <v>307</v>
      </c>
    </row>
    <row r="16" spans="1:4">
      <c r="A16" t="s">
        <v>222</v>
      </c>
      <c r="B16" s="26" t="str">
        <f>MID(A16,FIND(",",A16)+2,256)</f>
        <v>Thomas</v>
      </c>
      <c r="C16" s="26" t="str">
        <f>LEFT(A16,(FIND(",",A16,1)-1))</f>
        <v>Clinkenbeard</v>
      </c>
      <c r="D16" t="s">
        <v>308</v>
      </c>
    </row>
    <row r="17" spans="1:4">
      <c r="A17" t="s">
        <v>248</v>
      </c>
      <c r="B17" s="33" t="str">
        <f>MID(A17,FIND(",",A17)+2,256)</f>
        <v>Richard</v>
      </c>
      <c r="C17" s="33" t="str">
        <f>LEFT(A17,(FIND(",",A17,1)-1))</f>
        <v>Cohen</v>
      </c>
      <c r="D17" t="s">
        <v>309</v>
      </c>
    </row>
    <row r="18" spans="1:4">
      <c r="A18" t="s">
        <v>148</v>
      </c>
      <c r="B18" s="26" t="str">
        <f>MID(A18,FIND(",",A18)+2,256)</f>
        <v>Berkeley</v>
      </c>
      <c r="C18" s="26" t="str">
        <f>LEFT(A18,(FIND(",",A18,1)-1))</f>
        <v>Collins</v>
      </c>
      <c r="D18" t="s">
        <v>310</v>
      </c>
    </row>
    <row r="19" spans="1:4">
      <c r="A19" t="s">
        <v>249</v>
      </c>
      <c r="B19" s="26" t="str">
        <f>MID(A19,FIND(",",A19)+2,256)</f>
        <v>Juan</v>
      </c>
      <c r="C19" s="26" t="str">
        <f>LEFT(A19,(FIND(",",A19,1)-1))</f>
        <v>Contreras</v>
      </c>
      <c r="D19" t="s">
        <v>311</v>
      </c>
    </row>
    <row r="20" spans="1:4">
      <c r="A20" t="s">
        <v>250</v>
      </c>
      <c r="B20" s="33" t="str">
        <f>MID(A20,FIND(",",A20)+2,256)</f>
        <v>Patricia</v>
      </c>
      <c r="C20" s="33" t="str">
        <f>LEFT(A20,(FIND(",",A20,1)-1))</f>
        <v>Contreras</v>
      </c>
      <c r="D20" t="s">
        <v>312</v>
      </c>
    </row>
    <row r="21" spans="1:4">
      <c r="A21" t="s">
        <v>251</v>
      </c>
      <c r="B21" s="26" t="str">
        <f>MID(A21,FIND(",",A21)+2,256)</f>
        <v>Juan</v>
      </c>
      <c r="C21" s="26" t="str">
        <f>LEFT(A21,(FIND(",",A21,1)-1))</f>
        <v>Corona</v>
      </c>
      <c r="D21" t="s">
        <v>389</v>
      </c>
    </row>
    <row r="22" spans="1:4">
      <c r="A22" t="s">
        <v>414</v>
      </c>
      <c r="B22" s="26" t="str">
        <f>MID(A22,FIND(",",A22)+2,256)</f>
        <v>Kelly</v>
      </c>
      <c r="C22" s="26" t="str">
        <f>LEFT(A22,(FIND(",",A22,1)-1))</f>
        <v>Craig</v>
      </c>
      <c r="D22" t="s">
        <v>390</v>
      </c>
    </row>
    <row r="23" spans="1:4">
      <c r="A23" t="s">
        <v>252</v>
      </c>
      <c r="B23" s="26" t="str">
        <f>MID(A23,FIND(",",A23)+2,256)</f>
        <v>Joseph</v>
      </c>
      <c r="C23" s="26" t="str">
        <f>LEFT(A23,(FIND(",",A23,1)-1))</f>
        <v>Cress</v>
      </c>
      <c r="D23" t="s">
        <v>313</v>
      </c>
    </row>
    <row r="24" spans="1:4">
      <c r="A24" t="s">
        <v>221</v>
      </c>
      <c r="B24" s="26" t="str">
        <f>MID(A24,FIND(",",A24)+2,256)</f>
        <v>Meghan</v>
      </c>
      <c r="C24" s="26" t="str">
        <f>LEFT(A24,(FIND(",",A24,1)-1))</f>
        <v>Cunningham</v>
      </c>
      <c r="D24" t="s">
        <v>314</v>
      </c>
    </row>
    <row r="25" spans="1:4">
      <c r="A25" t="s">
        <v>149</v>
      </c>
      <c r="B25" s="26" t="str">
        <f>MID(A25,FIND(",",A25)+2,256)</f>
        <v>Guy</v>
      </c>
      <c r="C25" s="26" t="str">
        <f>LEFT(A25,(FIND(",",A25,1)-1))</f>
        <v>Danilowitz</v>
      </c>
      <c r="D25" t="s">
        <v>315</v>
      </c>
    </row>
    <row r="26" spans="1:4">
      <c r="A26" s="54" t="s">
        <v>434</v>
      </c>
      <c r="B26" s="53" t="str">
        <f>MID(A26,FIND(",",A26)+2,256)</f>
        <v>Christopher</v>
      </c>
      <c r="C26" s="53" t="str">
        <f>LEFT(A26,(FIND(",",A26,1)-1))</f>
        <v>Darden</v>
      </c>
      <c r="D26" s="56"/>
    </row>
    <row r="27" spans="1:4">
      <c r="A27" t="s">
        <v>253</v>
      </c>
      <c r="B27" s="26" t="str">
        <f>MID(A27,FIND(",",A27)+2,256)</f>
        <v>Norman</v>
      </c>
      <c r="C27" s="26" t="str">
        <f>LEFT(A27,(FIND(",",A27,1)-1))</f>
        <v>Dawson</v>
      </c>
      <c r="D27" t="s">
        <v>316</v>
      </c>
    </row>
    <row r="28" spans="1:4">
      <c r="A28" t="s">
        <v>254</v>
      </c>
      <c r="B28" s="28" t="str">
        <f>MID(A28,FIND(",",A28)+2,256)</f>
        <v>Maura</v>
      </c>
      <c r="C28" s="28" t="str">
        <f>LEFT(A28,(FIND(",",A28,1)-1))</f>
        <v>DelaRosa</v>
      </c>
      <c r="D28" t="s">
        <v>317</v>
      </c>
    </row>
    <row r="29" spans="1:4">
      <c r="A29" t="s">
        <v>255</v>
      </c>
      <c r="B29" s="41" t="str">
        <f>MID(A29,FIND(",",A29)+2,256)</f>
        <v>Sandra</v>
      </c>
      <c r="C29" s="41" t="str">
        <f>LEFT(A29,(FIND(",",A29,1)-1))</f>
        <v>DiGiulio</v>
      </c>
      <c r="D29" t="s">
        <v>318</v>
      </c>
    </row>
    <row r="30" spans="1:4">
      <c r="A30" t="s">
        <v>256</v>
      </c>
      <c r="B30" s="26" t="str">
        <f>MID(A30,FIND(",",A30)+2,256)</f>
        <v>Pamela</v>
      </c>
      <c r="C30" s="26" t="str">
        <f>LEFT(A30,(FIND(",",A30,1)-1))</f>
        <v>Dominisse</v>
      </c>
      <c r="D30" t="s">
        <v>319</v>
      </c>
    </row>
    <row r="31" spans="1:4">
      <c r="A31" t="s">
        <v>150</v>
      </c>
      <c r="B31" s="42" t="str">
        <f>MID(A31,FIND(",",A31)+2,256)</f>
        <v>Paulino</v>
      </c>
      <c r="C31" s="42" t="str">
        <f>LEFT(A31,(FIND(",",A31,1)-1))</f>
        <v>Duran</v>
      </c>
      <c r="D31" t="s">
        <v>320</v>
      </c>
    </row>
    <row r="32" spans="1:4">
      <c r="A32" t="s">
        <v>257</v>
      </c>
      <c r="B32" s="42" t="str">
        <f>MID(A32,FIND(",",A32)+2,256)</f>
        <v>Rachel</v>
      </c>
      <c r="C32" s="42" t="str">
        <f>LEFT(A32,(FIND(",",A32,1)-1))</f>
        <v>Engle</v>
      </c>
      <c r="D32" t="s">
        <v>321</v>
      </c>
    </row>
    <row r="33" spans="1:4">
      <c r="A33" t="s">
        <v>415</v>
      </c>
      <c r="B33" s="42" t="str">
        <f>MID(A33,FIND(",",A33)+2,256)</f>
        <v>Kimberly</v>
      </c>
      <c r="C33" s="42" t="str">
        <f>LEFT(A33,(FIND(",",A33,1)-1))</f>
        <v>Fernandez</v>
      </c>
      <c r="D33" t="s">
        <v>391</v>
      </c>
    </row>
    <row r="34" spans="1:4">
      <c r="A34" t="s">
        <v>151</v>
      </c>
      <c r="B34" s="38" t="str">
        <f>MID(A34,FIND(",",A34)+2,256)</f>
        <v>Karen</v>
      </c>
      <c r="C34" s="38" t="str">
        <f>LEFT(A34,(FIND(",",A34,1)-1))</f>
        <v>Flynn</v>
      </c>
      <c r="D34" t="s">
        <v>322</v>
      </c>
    </row>
    <row r="35" spans="1:4">
      <c r="A35" t="s">
        <v>152</v>
      </c>
      <c r="B35" s="26" t="str">
        <f>MID(A35,FIND(",",A35)+2,256)</f>
        <v>Scott</v>
      </c>
      <c r="C35" s="26" t="str">
        <f>LEFT(A35,(FIND(",",A35,1)-1))</f>
        <v>Franklin</v>
      </c>
      <c r="D35" t="s">
        <v>323</v>
      </c>
    </row>
    <row r="36" spans="1:4">
      <c r="A36" t="s">
        <v>258</v>
      </c>
      <c r="B36" s="38" t="str">
        <f>MID(A36,FIND(",",A36)+2,256)</f>
        <v>Jeffrey</v>
      </c>
      <c r="C36" s="38" t="str">
        <f>LEFT(A36,(FIND(",",A36,1)-1))</f>
        <v>Freedman</v>
      </c>
      <c r="D36" t="s">
        <v>324</v>
      </c>
    </row>
    <row r="37" spans="1:4">
      <c r="A37" t="s">
        <v>259</v>
      </c>
      <c r="B37" s="41" t="str">
        <f>MID(A37,FIND(",",A37)+2,256)</f>
        <v>Maegan</v>
      </c>
      <c r="C37" s="41" t="str">
        <f>LEFT(A37,(FIND(",",A37,1)-1))</f>
        <v>Gannon</v>
      </c>
      <c r="D37" t="s">
        <v>325</v>
      </c>
    </row>
    <row r="38" spans="1:4">
      <c r="A38" t="s">
        <v>260</v>
      </c>
      <c r="B38" s="42" t="str">
        <f>MID(A38,FIND(",",A38)+2,256)</f>
        <v>Steven</v>
      </c>
      <c r="C38" s="42" t="str">
        <f>LEFT(A38,(FIND(",",A38,1)-1))</f>
        <v>Garrett</v>
      </c>
      <c r="D38" t="s">
        <v>326</v>
      </c>
    </row>
    <row r="39" spans="1:4">
      <c r="A39" t="s">
        <v>219</v>
      </c>
      <c r="B39" s="48" t="str">
        <f>MID(A39,FIND(",",A39)+2,256)</f>
        <v>Paul</v>
      </c>
      <c r="C39" s="48" t="str">
        <f>LEFT(A39,(FIND(",",A39,1)-1))</f>
        <v>Gomez</v>
      </c>
      <c r="D39" t="s">
        <v>327</v>
      </c>
    </row>
    <row r="40" spans="1:4">
      <c r="A40" t="s">
        <v>261</v>
      </c>
      <c r="B40" s="42" t="str">
        <f>MID(A40,FIND(",",A40)+2,256)</f>
        <v>Eric</v>
      </c>
      <c r="C40" s="42" t="str">
        <f>LEFT(A40,(FIND(",",A40,1)-1))</f>
        <v>Handler</v>
      </c>
      <c r="D40" t="s">
        <v>328</v>
      </c>
    </row>
    <row r="41" spans="1:4">
      <c r="A41" t="s">
        <v>416</v>
      </c>
      <c r="B41" s="42" t="str">
        <f>MID(A41,FIND(",",A41)+2,256)</f>
        <v>Jo Ann</v>
      </c>
      <c r="C41" s="42" t="str">
        <f>LEFT(A41,(FIND(",",A41,1)-1))</f>
        <v>Harris</v>
      </c>
      <c r="D41" t="s">
        <v>329</v>
      </c>
    </row>
    <row r="42" spans="1:4">
      <c r="A42" t="s">
        <v>262</v>
      </c>
      <c r="B42" s="42" t="str">
        <f>MID(A42,FIND(",",A42)+2,256)</f>
        <v>Alicia</v>
      </c>
      <c r="C42" s="42" t="str">
        <f>LEFT(A42,(FIND(",",A42,1)-1))</f>
        <v>Hartley</v>
      </c>
      <c r="D42" t="s">
        <v>330</v>
      </c>
    </row>
    <row r="43" spans="1:4">
      <c r="A43" t="s">
        <v>417</v>
      </c>
      <c r="B43" s="42" t="str">
        <f>MID(A43,FIND(",",A43)+2,256)</f>
        <v>Stephen</v>
      </c>
      <c r="C43" s="42" t="str">
        <f>LEFT(A43,(FIND(",",A43,1)-1))</f>
        <v>Hirsch</v>
      </c>
      <c r="D43" t="s">
        <v>392</v>
      </c>
    </row>
    <row r="44" spans="1:4">
      <c r="A44" t="s">
        <v>418</v>
      </c>
      <c r="B44" s="42" t="str">
        <f>MID(A44,FIND(",",A44)+2,256)</f>
        <v>Eliza</v>
      </c>
      <c r="C44" s="42" t="str">
        <f>LEFT(A44,(FIND(",",A44,1)-1))</f>
        <v>Hook</v>
      </c>
      <c r="D44" t="s">
        <v>393</v>
      </c>
    </row>
    <row r="45" spans="1:4">
      <c r="A45" t="s">
        <v>263</v>
      </c>
      <c r="B45" s="42" t="str">
        <f>MID(A45,FIND(",",A45)+2,256)</f>
        <v>Diane</v>
      </c>
      <c r="C45" s="42" t="str">
        <f>LEFT(A45,(FIND(",",A45,1)-1))</f>
        <v>Howard</v>
      </c>
      <c r="D45" t="s">
        <v>331</v>
      </c>
    </row>
    <row r="46" spans="1:4">
      <c r="A46" t="s">
        <v>220</v>
      </c>
      <c r="B46" s="42" t="str">
        <f>MID(A46,FIND(",",A46)+2,256)</f>
        <v>Teresa</v>
      </c>
      <c r="C46" s="42" t="str">
        <f>LEFT(A46,(FIND(",",A46,1)-1))</f>
        <v>Huang</v>
      </c>
      <c r="D46" t="s">
        <v>332</v>
      </c>
    </row>
    <row r="47" spans="1:4">
      <c r="A47" t="s">
        <v>419</v>
      </c>
      <c r="B47" s="42" t="str">
        <f>MID(A47,FIND(",",A47)+2,256)</f>
        <v>Peter</v>
      </c>
      <c r="C47" s="42" t="str">
        <f>LEFT(A47,(FIND(",",A47,1)-1))</f>
        <v>Inouye</v>
      </c>
      <c r="D47" t="s">
        <v>394</v>
      </c>
    </row>
    <row r="48" spans="1:4">
      <c r="A48" t="s">
        <v>153</v>
      </c>
      <c r="B48" s="42" t="str">
        <f>MID(A48,FIND(",",A48)+2,256)</f>
        <v>Karri</v>
      </c>
      <c r="C48" s="42" t="str">
        <f>LEFT(A48,(FIND(",",A48,1)-1))</f>
        <v>Iyama</v>
      </c>
      <c r="D48" t="s">
        <v>395</v>
      </c>
    </row>
    <row r="49" spans="1:4">
      <c r="A49" t="s">
        <v>205</v>
      </c>
      <c r="B49" s="42" t="str">
        <f>MID(A49,FIND(",",A49)+2,256)</f>
        <v>Ryan</v>
      </c>
      <c r="C49" s="42" t="str">
        <f>LEFT(A49,(FIND(",",A49,1)-1))</f>
        <v>Jay</v>
      </c>
      <c r="D49" t="s">
        <v>333</v>
      </c>
    </row>
    <row r="50" spans="1:4">
      <c r="A50" t="s">
        <v>264</v>
      </c>
      <c r="B50" s="42" t="str">
        <f>MID(A50,FIND(",",A50)+2,256)</f>
        <v>Lawrence</v>
      </c>
      <c r="C50" s="42" t="str">
        <f>LEFT(A50,(FIND(",",A50,1)-1))</f>
        <v>Johnson</v>
      </c>
      <c r="D50" t="s">
        <v>334</v>
      </c>
    </row>
    <row r="51" spans="1:4">
      <c r="A51" t="s">
        <v>154</v>
      </c>
      <c r="B51" s="42" t="str">
        <f>MID(A51,FIND(",",A51)+2,256)</f>
        <v>Damien</v>
      </c>
      <c r="C51" s="42" t="str">
        <f>LEFT(A51,(FIND(",",A51,1)-1))</f>
        <v>Jovel</v>
      </c>
      <c r="D51" t="s">
        <v>335</v>
      </c>
    </row>
    <row r="52" spans="1:4">
      <c r="A52" t="s">
        <v>265</v>
      </c>
      <c r="B52" s="42" t="str">
        <f>MID(A52,FIND(",",A52)+2,256)</f>
        <v>Dean</v>
      </c>
      <c r="C52" s="42" t="str">
        <f>LEFT(A52,(FIND(",",A52,1)-1))</f>
        <v>Kim</v>
      </c>
      <c r="D52" t="s">
        <v>396</v>
      </c>
    </row>
    <row r="53" spans="1:4">
      <c r="A53" t="s">
        <v>266</v>
      </c>
      <c r="B53" s="42" t="str">
        <f>MID(A53,FIND(",",A53)+2,256)</f>
        <v>David</v>
      </c>
      <c r="C53" s="42" t="str">
        <f>LEFT(A53,(FIND(",",A53,1)-1))</f>
        <v>Klemer</v>
      </c>
      <c r="D53" t="s">
        <v>336</v>
      </c>
    </row>
    <row r="54" spans="1:4">
      <c r="A54" t="s">
        <v>420</v>
      </c>
      <c r="B54" s="42" t="str">
        <f>MID(A54,FIND(",",A54)+2,256)</f>
        <v>Vadim</v>
      </c>
      <c r="C54" s="42" t="str">
        <f>LEFT(A54,(FIND(",",A54,1)-1))</f>
        <v>Kobrya</v>
      </c>
      <c r="D54" t="s">
        <v>397</v>
      </c>
    </row>
    <row r="55" spans="1:4">
      <c r="A55" t="s">
        <v>267</v>
      </c>
      <c r="B55" s="42" t="str">
        <f>MID(A55,FIND(",",A55)+2,256)</f>
        <v>Andrew</v>
      </c>
      <c r="C55" s="42" t="str">
        <f>LEFT(A55,(FIND(",",A55,1)-1))</f>
        <v>Koper</v>
      </c>
      <c r="D55" t="s">
        <v>337</v>
      </c>
    </row>
    <row r="56" spans="1:4">
      <c r="A56" t="s">
        <v>190</v>
      </c>
      <c r="B56" s="42" t="str">
        <f>MID(A56,FIND(",",A56)+2,256)</f>
        <v>Joshua</v>
      </c>
      <c r="C56" s="42" t="str">
        <f>LEFT(A56,(FIND(",",A56,1)-1))</f>
        <v>Kurtz</v>
      </c>
      <c r="D56" t="s">
        <v>338</v>
      </c>
    </row>
    <row r="57" spans="1:4">
      <c r="A57" t="s">
        <v>268</v>
      </c>
      <c r="B57" s="42" t="str">
        <f>MID(A57,FIND(",",A57)+2,256)</f>
        <v>Karol</v>
      </c>
      <c r="C57" s="42" t="str">
        <f>LEFT(A57,(FIND(",",A57,1)-1))</f>
        <v>Kutz</v>
      </c>
      <c r="D57" t="s">
        <v>339</v>
      </c>
    </row>
    <row r="58" spans="1:4">
      <c r="A58" t="s">
        <v>269</v>
      </c>
      <c r="B58" s="42" t="str">
        <f>MID(A58,FIND(",",A58)+2,256)</f>
        <v>Lisette</v>
      </c>
      <c r="C58" s="42" t="str">
        <f>LEFT(A58,(FIND(",",A58,1)-1))</f>
        <v>Lancaster</v>
      </c>
      <c r="D58" t="s">
        <v>340</v>
      </c>
    </row>
    <row r="59" spans="1:4">
      <c r="A59" t="s">
        <v>421</v>
      </c>
      <c r="B59" s="42" t="str">
        <f>MID(A59,FIND(",",A59)+2,256)</f>
        <v>Jack</v>
      </c>
      <c r="C59" s="42" t="str">
        <f>LEFT(A59,(FIND(",",A59,1)-1))</f>
        <v>Lescroart</v>
      </c>
      <c r="D59" t="s">
        <v>398</v>
      </c>
    </row>
    <row r="60" spans="1:4">
      <c r="A60" t="s">
        <v>270</v>
      </c>
      <c r="B60" s="42" t="str">
        <f>MID(A60,FIND(",",A60)+2,256)</f>
        <v>Steve</v>
      </c>
      <c r="C60" s="42" t="str">
        <f>LEFT(A60,(FIND(",",A60,1)-1))</f>
        <v>Lewis</v>
      </c>
      <c r="D60" t="s">
        <v>341</v>
      </c>
    </row>
    <row r="61" spans="1:4">
      <c r="A61" t="s">
        <v>422</v>
      </c>
      <c r="B61" s="42" t="str">
        <f>MID(A61,FIND(",",A61)+2,256)</f>
        <v>Lisa</v>
      </c>
      <c r="C61" s="42" t="str">
        <f>LEFT(A61,(FIND(",",A61,1)-1))</f>
        <v>Lim</v>
      </c>
      <c r="D61" t="s">
        <v>399</v>
      </c>
    </row>
    <row r="62" spans="1:4">
      <c r="A62" s="42" t="s">
        <v>436</v>
      </c>
      <c r="B62" s="42" t="str">
        <f>MID(A62,FIND(",",A62)+2,256)</f>
        <v>Ryan</v>
      </c>
      <c r="C62" s="42" t="str">
        <f>LEFT(A62,(FIND(",",A62,1)-1))</f>
        <v>Lochte</v>
      </c>
      <c r="D62" s="57"/>
    </row>
    <row r="63" spans="1:4">
      <c r="A63" t="s">
        <v>271</v>
      </c>
      <c r="B63" s="42" t="str">
        <f>MID(A63,FIND(",",A63)+2,256)</f>
        <v>Matthew</v>
      </c>
      <c r="C63" s="42" t="str">
        <f>LEFT(A63,(FIND(",",A63,1)-1))</f>
        <v>Lopas</v>
      </c>
      <c r="D63" t="s">
        <v>342</v>
      </c>
    </row>
    <row r="64" spans="1:4">
      <c r="A64" t="s">
        <v>272</v>
      </c>
      <c r="B64" s="42" t="str">
        <f>MID(A64,FIND(",",A64)+2,256)</f>
        <v>David</v>
      </c>
      <c r="C64" s="42" t="str">
        <f>LEFT(A64,(FIND(",",A64,1)-1))</f>
        <v>Lynch</v>
      </c>
      <c r="D64" t="s">
        <v>343</v>
      </c>
    </row>
    <row r="65" spans="1:4">
      <c r="A65" t="s">
        <v>155</v>
      </c>
      <c r="B65" s="42" t="str">
        <f>MID(A65,FIND(",",A65)+2,256)</f>
        <v>Susannah</v>
      </c>
      <c r="C65" s="42" t="str">
        <f>LEFT(A65,(FIND(",",A65,1)-1))</f>
        <v>Martin</v>
      </c>
      <c r="D65" t="s">
        <v>344</v>
      </c>
    </row>
    <row r="66" spans="1:4">
      <c r="A66" t="s">
        <v>423</v>
      </c>
      <c r="B66" s="42" t="str">
        <f>MID(A66,FIND(",",A66)+2,256)</f>
        <v>Amanda</v>
      </c>
      <c r="C66" s="42" t="str">
        <f>LEFT(A66,(FIND(",",A66,1)-1))</f>
        <v>Massimini</v>
      </c>
      <c r="D66" t="s">
        <v>400</v>
      </c>
    </row>
    <row r="67" spans="1:4">
      <c r="A67" t="s">
        <v>424</v>
      </c>
      <c r="B67" s="42" t="str">
        <f>MID(A67,FIND(",",A67)+2,256)</f>
        <v>Alexia</v>
      </c>
      <c r="C67" s="42" t="str">
        <f>LEFT(A67,(FIND(",",A67,1)-1))</f>
        <v>Mayorga</v>
      </c>
      <c r="D67" t="s">
        <v>401</v>
      </c>
    </row>
    <row r="68" spans="1:4">
      <c r="A68" t="s">
        <v>425</v>
      </c>
      <c r="B68" s="42" t="str">
        <f>MID(A68,FIND(",",A68)+2,256)</f>
        <v>Debra</v>
      </c>
      <c r="C68" s="42" t="str">
        <f>LEFT(A68,(FIND(",",A68,1)-1))</f>
        <v>McClure</v>
      </c>
      <c r="D68" t="s">
        <v>402</v>
      </c>
    </row>
    <row r="69" spans="1:4">
      <c r="A69" t="s">
        <v>273</v>
      </c>
      <c r="B69" s="42" t="str">
        <f>MID(A69,FIND(",",A69)+2,256)</f>
        <v>Melissa</v>
      </c>
      <c r="C69" s="42" t="str">
        <f>LEFT(A69,(FIND(",",A69,1)-1))</f>
        <v>McElheney</v>
      </c>
      <c r="D69" t="s">
        <v>345</v>
      </c>
    </row>
    <row r="70" spans="1:4">
      <c r="A70" t="s">
        <v>426</v>
      </c>
      <c r="B70" s="42" t="str">
        <f>MID(A70,FIND(",",A70)+2,256)</f>
        <v>Theodore</v>
      </c>
      <c r="C70" s="42" t="str">
        <f>LEFT(A70,(FIND(",",A70,1)-1))</f>
        <v>McGee</v>
      </c>
      <c r="D70" t="s">
        <v>403</v>
      </c>
    </row>
    <row r="71" spans="1:4">
      <c r="A71" t="s">
        <v>156</v>
      </c>
      <c r="B71" s="42" t="str">
        <f>MID(A71,FIND(",",A71)+2,256)</f>
        <v>Alina</v>
      </c>
      <c r="C71" s="42" t="str">
        <f>LEFT(A71,(FIND(",",A71,1)-1))</f>
        <v>Mendez</v>
      </c>
      <c r="D71" t="s">
        <v>346</v>
      </c>
    </row>
    <row r="72" spans="1:4">
      <c r="A72" t="s">
        <v>274</v>
      </c>
      <c r="B72" s="42" t="str">
        <f>MID(A72,FIND(",",A72)+2,256)</f>
        <v>Alice</v>
      </c>
      <c r="C72" s="42" t="str">
        <f>LEFT(A72,(FIND(",",A72,1)-1))</f>
        <v>Michel</v>
      </c>
      <c r="D72" t="s">
        <v>347</v>
      </c>
    </row>
    <row r="73" spans="1:4">
      <c r="A73" t="s">
        <v>427</v>
      </c>
      <c r="B73" s="42" t="str">
        <f>MID(A73,FIND(",",A73)+2,256)</f>
        <v>Kendal</v>
      </c>
      <c r="C73" s="42" t="str">
        <f>LEFT(A73,(FIND(",",A73,1)-1))</f>
        <v>Micklethwaite</v>
      </c>
      <c r="D73" t="s">
        <v>404</v>
      </c>
    </row>
    <row r="74" spans="1:4">
      <c r="A74" t="s">
        <v>275</v>
      </c>
      <c r="B74" s="42" t="str">
        <f>MID(A74,FIND(",",A74)+2,256)</f>
        <v>Kimberli</v>
      </c>
      <c r="C74" s="42" t="str">
        <f>LEFT(A74,(FIND(",",A74,1)-1))</f>
        <v>Miller</v>
      </c>
      <c r="D74" t="s">
        <v>348</v>
      </c>
    </row>
    <row r="75" spans="1:4">
      <c r="A75" t="s">
        <v>428</v>
      </c>
      <c r="B75" s="42" t="str">
        <f>MID(A75,FIND(",",A75)+2,256)</f>
        <v>Reuben</v>
      </c>
      <c r="C75" s="42" t="str">
        <f>LEFT(A75,(FIND(",",A75,1)-1))</f>
        <v>Moreno</v>
      </c>
      <c r="D75" t="s">
        <v>405</v>
      </c>
    </row>
    <row r="76" spans="1:4">
      <c r="A76" t="s">
        <v>276</v>
      </c>
      <c r="B76" s="42" t="str">
        <f>MID(A76,FIND(",",A76)+2,256)</f>
        <v>Jessie</v>
      </c>
      <c r="C76" s="42" t="str">
        <f>LEFT(A76,(FIND(",",A76,1)-1))</f>
        <v>Morris</v>
      </c>
      <c r="D76" t="s">
        <v>349</v>
      </c>
    </row>
    <row r="77" spans="1:4">
      <c r="A77" t="s">
        <v>429</v>
      </c>
      <c r="B77" s="42" t="str">
        <f>MID(A77,FIND(",",A77)+2,256)</f>
        <v>Michael</v>
      </c>
      <c r="C77" s="42" t="str">
        <f>LEFT(A77,(FIND(",",A77,1)-1))</f>
        <v>Mullan</v>
      </c>
      <c r="D77" t="s">
        <v>406</v>
      </c>
    </row>
    <row r="78" spans="1:4">
      <c r="A78" t="s">
        <v>157</v>
      </c>
      <c r="B78" s="42" t="str">
        <f>MID(A78,FIND(",",A78)+2,256)</f>
        <v>Michael</v>
      </c>
      <c r="C78" s="42" t="str">
        <f>LEFT(A78,(FIND(",",A78,1)-1))</f>
        <v>Nelson</v>
      </c>
      <c r="D78" t="s">
        <v>350</v>
      </c>
    </row>
    <row r="79" spans="1:4">
      <c r="A79" t="s">
        <v>277</v>
      </c>
      <c r="B79" s="42" t="str">
        <f>MID(A79,FIND(",",A79)+2,256)</f>
        <v>Stephen</v>
      </c>
      <c r="C79" s="42" t="str">
        <f>LEFT(A79,(FIND(",",A79,1)-1))</f>
        <v>Nelson</v>
      </c>
      <c r="D79" t="s">
        <v>351</v>
      </c>
    </row>
    <row r="80" spans="1:4">
      <c r="A80" t="s">
        <v>278</v>
      </c>
      <c r="B80" s="42" t="str">
        <f>MID(A80,FIND(",",A80)+2,256)</f>
        <v>Joni</v>
      </c>
      <c r="C80" s="42" t="str">
        <f>LEFT(A80,(FIND(",",A80,1)-1))</f>
        <v>O'Connor</v>
      </c>
      <c r="D80" t="s">
        <v>352</v>
      </c>
    </row>
    <row r="81" spans="1:4">
      <c r="A81" t="s">
        <v>430</v>
      </c>
      <c r="B81" s="42" t="str">
        <f>MID(A81,FIND(",",A81)+2,256)</f>
        <v>Tallie</v>
      </c>
      <c r="C81" s="42" t="str">
        <f>LEFT(A81,(FIND(",",A81,1)-1))</f>
        <v>Pagano</v>
      </c>
      <c r="D81" t="s">
        <v>407</v>
      </c>
    </row>
    <row r="82" spans="1:4">
      <c r="A82" t="s">
        <v>279</v>
      </c>
      <c r="B82" s="42" t="str">
        <f>MID(A82,FIND(",",A82)+2,256)</f>
        <v>Brooks</v>
      </c>
      <c r="C82" s="42" t="str">
        <f>LEFT(A82,(FIND(",",A82,1)-1))</f>
        <v>Parfitt</v>
      </c>
      <c r="D82" t="s">
        <v>353</v>
      </c>
    </row>
    <row r="83" spans="1:4">
      <c r="A83" t="s">
        <v>431</v>
      </c>
      <c r="B83" s="42" t="str">
        <f>MID(A83,FIND(",",A83)+2,256)</f>
        <v>Alex</v>
      </c>
      <c r="C83" s="42" t="str">
        <f>LEFT(A83,(FIND(",",A83,1)-1))</f>
        <v>Patterson</v>
      </c>
      <c r="D83" t="s">
        <v>408</v>
      </c>
    </row>
    <row r="84" spans="1:4">
      <c r="A84" t="s">
        <v>280</v>
      </c>
      <c r="B84" s="42" t="str">
        <f>MID(A84,FIND(",",A84)+2,256)</f>
        <v>John</v>
      </c>
      <c r="C84" s="42" t="str">
        <f>LEFT(A84,(FIND(",",A84,1)-1))</f>
        <v>Perkins</v>
      </c>
      <c r="D84" t="s">
        <v>354</v>
      </c>
    </row>
    <row r="85" spans="1:4">
      <c r="A85" t="s">
        <v>281</v>
      </c>
      <c r="B85" s="42" t="str">
        <f>MID(A85,FIND(",",A85)+2,256)</f>
        <v>Dennis</v>
      </c>
      <c r="C85" s="42" t="str">
        <f>LEFT(A85,(FIND(",",A85,1)-1))</f>
        <v>Pytel</v>
      </c>
      <c r="D85" t="s">
        <v>355</v>
      </c>
    </row>
    <row r="86" spans="1:4">
      <c r="A86" t="s">
        <v>282</v>
      </c>
      <c r="B86" s="42" t="str">
        <f>MID(A86,FIND(",",A86)+2,256)</f>
        <v>Ryan</v>
      </c>
      <c r="C86" s="42" t="str">
        <f>LEFT(A86,(FIND(",",A86,1)-1))</f>
        <v>Raftery</v>
      </c>
      <c r="D86" t="s">
        <v>356</v>
      </c>
    </row>
    <row r="87" spans="1:4">
      <c r="A87" t="s">
        <v>283</v>
      </c>
      <c r="B87" s="42" t="str">
        <f>MID(A87,FIND(",",A87)+2,256)</f>
        <v>Joseph</v>
      </c>
      <c r="C87" s="42" t="str">
        <f>LEFT(A87,(FIND(",",A87,1)-1))</f>
        <v>Ramirez</v>
      </c>
      <c r="D87" t="s">
        <v>357</v>
      </c>
    </row>
    <row r="88" spans="1:4">
      <c r="A88" t="s">
        <v>284</v>
      </c>
      <c r="B88" s="42" t="str">
        <f>MID(A88,FIND(",",A88)+2,256)</f>
        <v>Catherine</v>
      </c>
      <c r="C88" s="42" t="str">
        <f>LEFT(A88,(FIND(",",A88,1)-1))</f>
        <v>Ratshin</v>
      </c>
      <c r="D88" t="s">
        <v>358</v>
      </c>
    </row>
    <row r="89" spans="1:4">
      <c r="A89" t="s">
        <v>285</v>
      </c>
      <c r="B89" s="42" t="str">
        <f>MID(A89,FIND(",",A89)+2,256)</f>
        <v>Michael</v>
      </c>
      <c r="C89" s="42" t="str">
        <f>LEFT(A89,(FIND(",",A89,1)-1))</f>
        <v>Richardson</v>
      </c>
      <c r="D89" t="s">
        <v>359</v>
      </c>
    </row>
    <row r="90" spans="1:4">
      <c r="A90" t="s">
        <v>286</v>
      </c>
      <c r="B90" s="42" t="str">
        <f>MID(A90,FIND(",",A90)+2,256)</f>
        <v>Amy</v>
      </c>
      <c r="C90" s="42" t="str">
        <f>LEFT(A90,(FIND(",",A90,1)-1))</f>
        <v>Rogers</v>
      </c>
      <c r="D90" t="s">
        <v>360</v>
      </c>
    </row>
    <row r="91" spans="1:4">
      <c r="A91" t="s">
        <v>287</v>
      </c>
      <c r="B91" s="42" t="str">
        <f>MID(A91,FIND(",",A91)+2,256)</f>
        <v>Christopher</v>
      </c>
      <c r="C91" s="42" t="str">
        <f>LEFT(A91,(FIND(",",A91,1)-1))</f>
        <v>Ryan</v>
      </c>
      <c r="D91" t="s">
        <v>361</v>
      </c>
    </row>
    <row r="92" spans="1:4">
      <c r="A92" t="s">
        <v>288</v>
      </c>
      <c r="B92" s="42" t="str">
        <f>MID(A92,FIND(",",A92)+2,256)</f>
        <v>Mickey</v>
      </c>
      <c r="C92" s="42" t="str">
        <f>LEFT(A92,(FIND(",",A92,1)-1))</f>
        <v>Sampson</v>
      </c>
      <c r="D92" t="s">
        <v>362</v>
      </c>
    </row>
    <row r="93" spans="1:4">
      <c r="A93" t="s">
        <v>162</v>
      </c>
      <c r="B93" s="42" t="str">
        <f>MID(A93,FIND(",",A93)+2,256)</f>
        <v>Anna</v>
      </c>
      <c r="C93" s="42" t="str">
        <f>LEFT(A93,(FIND(",",A93,1)-1))</f>
        <v>Semerdjian</v>
      </c>
      <c r="D93" t="s">
        <v>363</v>
      </c>
    </row>
    <row r="94" spans="1:4">
      <c r="A94" t="s">
        <v>227</v>
      </c>
      <c r="B94" s="42" t="str">
        <f>MID(A94,FIND(",",A94)+2,256)</f>
        <v>Michelle</v>
      </c>
      <c r="C94" s="42" t="str">
        <f>LEFT(A94,(FIND(",",A94,1)-1))</f>
        <v>Shaffie</v>
      </c>
      <c r="D94" t="s">
        <v>364</v>
      </c>
    </row>
    <row r="95" spans="1:4">
      <c r="A95" s="54" t="s">
        <v>435</v>
      </c>
      <c r="B95" s="54" t="str">
        <f>MID(A95,FIND(",",A95)+2,256)</f>
        <v>Robert</v>
      </c>
      <c r="C95" s="54" t="str">
        <f>LEFT(A95,(FIND(",",A95,1)-1))</f>
        <v>Shapiro</v>
      </c>
      <c r="D95" s="56"/>
    </row>
    <row r="96" spans="1:4">
      <c r="A96" t="s">
        <v>158</v>
      </c>
      <c r="B96" s="42" t="str">
        <f>MID(A96,FIND(",",A96)+2,256)</f>
        <v>Rodney</v>
      </c>
      <c r="C96" s="42" t="str">
        <f>LEFT(A96,(FIND(",",A96,1)-1))</f>
        <v>Simpson</v>
      </c>
      <c r="D96" t="s">
        <v>365</v>
      </c>
    </row>
    <row r="97" spans="1:4">
      <c r="A97" t="s">
        <v>224</v>
      </c>
      <c r="B97" s="26" t="str">
        <f>MID(A97,FIND(",",A97)+2,256)</f>
        <v>Mark</v>
      </c>
      <c r="C97" s="26" t="str">
        <f>LEFT(A97,(FIND(",",A97,1)-1))</f>
        <v>Slaughter</v>
      </c>
      <c r="D97" t="s">
        <v>366</v>
      </c>
    </row>
    <row r="98" spans="1:4">
      <c r="A98" t="s">
        <v>289</v>
      </c>
      <c r="B98" s="26" t="str">
        <f>MID(A98,FIND(",",A98)+2,256)</f>
        <v>Robert</v>
      </c>
      <c r="C98" s="26" t="str">
        <f>LEFT(A98,(FIND(",",A98,1)-1))</f>
        <v>Sorokolit</v>
      </c>
      <c r="D98" t="s">
        <v>367</v>
      </c>
    </row>
    <row r="99" spans="1:4">
      <c r="A99" t="s">
        <v>159</v>
      </c>
      <c r="B99" s="26" t="str">
        <f>MID(A99,FIND(",",A99)+2,256)</f>
        <v>Paula</v>
      </c>
      <c r="C99" s="26" t="str">
        <f>LEFT(A99,(FIND(",",A99,1)-1))</f>
        <v>Spano</v>
      </c>
      <c r="D99" t="s">
        <v>368</v>
      </c>
    </row>
    <row r="100" spans="1:4">
      <c r="A100" t="s">
        <v>290</v>
      </c>
      <c r="B100" s="26" t="str">
        <f>MID(A100,FIND(",",A100)+2,256)</f>
        <v>John</v>
      </c>
      <c r="C100" s="26" t="str">
        <f>LEFT(A100,(FIND(",",A100,1)-1))</f>
        <v>Stoller</v>
      </c>
      <c r="D100" t="s">
        <v>369</v>
      </c>
    </row>
    <row r="101" spans="1:4">
      <c r="A101" t="s">
        <v>160</v>
      </c>
      <c r="B101" s="26" t="str">
        <f>MID(A101,FIND(",",A101)+2,256)</f>
        <v>Jenny</v>
      </c>
      <c r="C101" s="26" t="str">
        <f>LEFT(A101,(FIND(",",A101,1)-1))</f>
        <v>Stoneburner</v>
      </c>
      <c r="D101" t="s">
        <v>370</v>
      </c>
    </row>
    <row r="102" spans="1:4">
      <c r="A102" t="s">
        <v>218</v>
      </c>
      <c r="B102" s="42" t="str">
        <f>MID(A102,FIND(",",A102)+2,256)</f>
        <v>Tiffanie</v>
      </c>
      <c r="C102" s="42" t="str">
        <f>LEFT(A102,(FIND(",",A102,1)-1))</f>
        <v>Synnott</v>
      </c>
      <c r="D102" t="s">
        <v>371</v>
      </c>
    </row>
    <row r="103" spans="1:4">
      <c r="A103" t="s">
        <v>234</v>
      </c>
      <c r="B103" s="42" t="str">
        <f>MID(A103,FIND(",",A103)+2,256)</f>
        <v>Leonard</v>
      </c>
      <c r="C103" s="42" t="str">
        <f>LEFT(A103,(FIND(",",A103,1)-1))</f>
        <v>Tauman</v>
      </c>
      <c r="D103" t="s">
        <v>372</v>
      </c>
    </row>
    <row r="104" spans="1:4">
      <c r="A104" t="s">
        <v>291</v>
      </c>
      <c r="B104" s="42" t="str">
        <f>MID(A104,FIND(",",A104)+2,256)</f>
        <v>Amanda</v>
      </c>
      <c r="C104" s="42" t="str">
        <f>LEFT(A104,(FIND(",",A104,1)-1))</f>
        <v>Templeton</v>
      </c>
      <c r="D104" t="s">
        <v>409</v>
      </c>
    </row>
    <row r="105" spans="1:4">
      <c r="A105" t="s">
        <v>217</v>
      </c>
      <c r="B105" s="42" t="str">
        <f>MID(A105,FIND(",",A105)+2,256)</f>
        <v>Raymond</v>
      </c>
      <c r="C105" s="42" t="str">
        <f>LEFT(A105,(FIND(",",A105,1)-1))</f>
        <v>Thomas</v>
      </c>
      <c r="D105" t="s">
        <v>373</v>
      </c>
    </row>
    <row r="106" spans="1:4">
      <c r="A106" t="s">
        <v>228</v>
      </c>
      <c r="B106" s="42" t="str">
        <f>MID(A106,FIND(",",A106)+2,256)</f>
        <v>Corey</v>
      </c>
      <c r="C106" s="42" t="str">
        <f>LEFT(A106,(FIND(",",A106,1)-1))</f>
        <v>Thornhill</v>
      </c>
      <c r="D106" t="s">
        <v>374</v>
      </c>
    </row>
    <row r="107" spans="1:4">
      <c r="A107" t="s">
        <v>432</v>
      </c>
      <c r="B107" s="42" t="str">
        <f>MID(A107,FIND(",",A107)+2,256)</f>
        <v>Quocanh</v>
      </c>
      <c r="C107" s="42" t="str">
        <f>LEFT(A107,(FIND(",",A107,1)-1))</f>
        <v>To</v>
      </c>
      <c r="D107" t="s">
        <v>375</v>
      </c>
    </row>
    <row r="108" spans="1:4">
      <c r="A108" t="s">
        <v>292</v>
      </c>
      <c r="B108" s="42" t="str">
        <f>MID(A108,FIND(",",A108)+2,256)</f>
        <v>Jeremiah</v>
      </c>
      <c r="C108" s="42" t="str">
        <f>LEFT(A108,(FIND(",",A108,1)-1))</f>
        <v>Van Etten</v>
      </c>
      <c r="D108" t="s">
        <v>376</v>
      </c>
    </row>
    <row r="109" spans="1:4">
      <c r="A109" t="s">
        <v>293</v>
      </c>
      <c r="B109" s="42" t="str">
        <f>MID(A109,FIND(",",A109)+2,256)</f>
        <v>JoAnn</v>
      </c>
      <c r="C109" s="42" t="str">
        <f>LEFT(A109,(FIND(",",A109,1)-1))</f>
        <v>Virata</v>
      </c>
      <c r="D109" t="s">
        <v>377</v>
      </c>
    </row>
    <row r="110" spans="1:4">
      <c r="A110" s="42" t="s">
        <v>437</v>
      </c>
      <c r="B110" s="42" t="str">
        <f>MID(A110,FIND(",",A110)+2,256)</f>
        <v>Marcus</v>
      </c>
      <c r="C110" s="42" t="str">
        <f>LEFT(A110,(FIND(",",A110,1)-1))</f>
        <v>Welby</v>
      </c>
      <c r="D110" s="57"/>
    </row>
    <row r="111" spans="1:4">
      <c r="A111" t="s">
        <v>294</v>
      </c>
      <c r="B111" s="42" t="str">
        <f>MID(A111,FIND(",",A111)+2,256)</f>
        <v>Allison</v>
      </c>
      <c r="C111" s="42" t="str">
        <f>LEFT(A111,(FIND(",",A111,1)-1))</f>
        <v>Williams</v>
      </c>
      <c r="D111" t="s">
        <v>378</v>
      </c>
    </row>
    <row r="112" spans="1:4">
      <c r="A112" s="55" t="s">
        <v>295</v>
      </c>
      <c r="B112" s="26" t="str">
        <f>MID(A112,FIND(",",A112)+2,256)</f>
        <v>Robert</v>
      </c>
      <c r="C112" s="26" t="str">
        <f>LEFT(A112,(FIND(",",A112,1)-1))</f>
        <v>Woodard</v>
      </c>
      <c r="D112" s="55" t="s">
        <v>379</v>
      </c>
    </row>
    <row r="113" spans="1:4">
      <c r="A113" s="52" t="s">
        <v>296</v>
      </c>
      <c r="B113" s="42" t="str">
        <f>MID(A113,FIND(",",A113)+2,256)</f>
        <v>Larry</v>
      </c>
      <c r="C113" s="42" t="str">
        <f>LEFT(A113,(FIND(",",A113,1)-1))</f>
        <v>Yee</v>
      </c>
      <c r="D113" s="52" t="s">
        <v>380</v>
      </c>
    </row>
    <row r="114" spans="1:4">
      <c r="A114" s="55" t="s">
        <v>161</v>
      </c>
      <c r="B114" s="26" t="str">
        <f>MID(A114,FIND(",",A114)+2,256)</f>
        <v>Addie</v>
      </c>
      <c r="C114" s="26" t="str">
        <f>LEFT(A114,(FIND(",",A114,1)-1))</f>
        <v>Young</v>
      </c>
      <c r="D114" s="55" t="s">
        <v>381</v>
      </c>
    </row>
    <row r="115" spans="1:4">
      <c r="A115" s="55" t="s">
        <v>229</v>
      </c>
      <c r="B115" s="26" t="str">
        <f>MID(A115,FIND(",",A115)+2,256)</f>
        <v>Courtney</v>
      </c>
      <c r="C115" s="26" t="str">
        <f>LEFT(A115,(FIND(",",A115,1)-1))</f>
        <v>Zane</v>
      </c>
      <c r="D115" s="55" t="s">
        <v>382</v>
      </c>
    </row>
    <row r="116" spans="1:4">
      <c r="A116" s="55" t="s">
        <v>297</v>
      </c>
      <c r="B116" s="26" t="str">
        <f>MID(A116,FIND(",",A116)+2,256)</f>
        <v>Torr</v>
      </c>
      <c r="C116" s="26" t="str">
        <f>LEFT(A116,(FIND(",",A116,1)-1))</f>
        <v>Zielenski</v>
      </c>
      <c r="D116" s="55" t="s">
        <v>383</v>
      </c>
    </row>
  </sheetData>
  <sheetProtection sheet="1" objects="1" scenarios="1"/>
  <sortState ref="A1:D26">
    <sortCondition ref="A2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workbookViewId="0">
      <selection activeCell="F14" sqref="F14"/>
    </sheetView>
  </sheetViews>
  <sheetFormatPr defaultRowHeight="15"/>
  <cols>
    <col min="1" max="1" width="20" bestFit="1" customWidth="1"/>
    <col min="2" max="2" width="18.5703125" bestFit="1" customWidth="1"/>
    <col min="3" max="3" width="13.85546875" customWidth="1"/>
  </cols>
  <sheetData>
    <row r="1" spans="1:3">
      <c r="A1" t="s">
        <v>113</v>
      </c>
      <c r="B1" t="s">
        <v>23</v>
      </c>
      <c r="C1">
        <f ca="1">YEAR(TODAY())</f>
        <v>2023</v>
      </c>
    </row>
    <row r="2" spans="1:3">
      <c r="A2" t="s">
        <v>114</v>
      </c>
      <c r="B2" t="s">
        <v>127</v>
      </c>
      <c r="C2" s="18">
        <f ca="1">DATE(C1,1,1)</f>
        <v>44927</v>
      </c>
    </row>
    <row r="3" spans="1:3">
      <c r="A3" t="s">
        <v>115</v>
      </c>
      <c r="B3" t="s">
        <v>128</v>
      </c>
      <c r="C3" s="19">
        <f ca="1">DATE(C1,1,1)+14+CHOOSE(WEEKDAY(DATE(C1,1,1)),1,0,6,5,4,3,2)</f>
        <v>44942</v>
      </c>
    </row>
    <row r="4" spans="1:3">
      <c r="A4" t="s">
        <v>116</v>
      </c>
      <c r="B4" t="s">
        <v>138</v>
      </c>
      <c r="C4" s="20">
        <f ca="1">DATE(C1,2,12)</f>
        <v>44969</v>
      </c>
    </row>
    <row r="5" spans="1:3">
      <c r="A5" t="s">
        <v>117</v>
      </c>
      <c r="B5" t="s">
        <v>131</v>
      </c>
      <c r="C5" s="19">
        <f ca="1">DATE(C1,2,1)+14+CHOOSE(WEEKDAY(DATE(C1,2,1)),1,0,6,5,4,3,2)</f>
        <v>44977</v>
      </c>
    </row>
    <row r="6" spans="1:3">
      <c r="A6" t="s">
        <v>118</v>
      </c>
      <c r="B6" t="s">
        <v>137</v>
      </c>
      <c r="C6" s="20">
        <f ca="1">DATE(C1,3,31)</f>
        <v>45016</v>
      </c>
    </row>
    <row r="7" spans="1:3">
      <c r="A7" t="s">
        <v>119</v>
      </c>
      <c r="B7" t="s">
        <v>126</v>
      </c>
      <c r="C7" s="19">
        <f ca="1">DATE(C1,6,1)-WEEKDAY(DATE(C1,6,6))</f>
        <v>45075</v>
      </c>
    </row>
    <row r="8" spans="1:3">
      <c r="A8" t="s">
        <v>120</v>
      </c>
      <c r="B8" t="s">
        <v>132</v>
      </c>
      <c r="C8" s="19">
        <f ca="1">DATE(C1,7,4)</f>
        <v>45111</v>
      </c>
    </row>
    <row r="9" spans="1:3">
      <c r="A9" t="s">
        <v>121</v>
      </c>
      <c r="B9" t="s">
        <v>129</v>
      </c>
      <c r="C9" s="19">
        <f ca="1">DATE(C1,9,1)+CHOOSE(WEEKDAY(DATE(C1,9,1)),1,0,6,5,4,3,2)</f>
        <v>45173</v>
      </c>
    </row>
    <row r="10" spans="1:3">
      <c r="A10" t="s">
        <v>122</v>
      </c>
      <c r="B10" t="s">
        <v>133</v>
      </c>
      <c r="C10" s="19">
        <f ca="1">DATE(C1,10,1)+7+CHOOSE(WEEKDAY(DATE(C1,10,1)),1,0,6,5,4,3,2)</f>
        <v>45208</v>
      </c>
    </row>
    <row r="11" spans="1:3">
      <c r="A11" t="s">
        <v>123</v>
      </c>
      <c r="B11" s="17" t="s">
        <v>130</v>
      </c>
      <c r="C11" s="19">
        <f ca="1">DATE(C1,11,11)</f>
        <v>45241</v>
      </c>
    </row>
    <row r="12" spans="1:3">
      <c r="A12" t="s">
        <v>124</v>
      </c>
      <c r="B12" t="s">
        <v>134</v>
      </c>
      <c r="C12" s="19">
        <f ca="1">DATE(C1,11,1)+21+CHOOSE(WEEKDAY(DATE(C1,11,1)),4,3,2,1,0,6,5)</f>
        <v>45253</v>
      </c>
    </row>
    <row r="13" spans="1:3">
      <c r="A13" t="s">
        <v>136</v>
      </c>
      <c r="B13" t="s">
        <v>135</v>
      </c>
      <c r="C13" s="19">
        <f ca="1">DATE(C1,11,1)+22+CHOOSE(WEEKDAY(DATE(C1,11,1)),4,3,2,1,0,6,5)</f>
        <v>45254</v>
      </c>
    </row>
    <row r="14" spans="1:3">
      <c r="A14" t="s">
        <v>125</v>
      </c>
      <c r="B14" t="s">
        <v>139</v>
      </c>
      <c r="C14" s="19">
        <f ca="1">DATE(C1,12,25)</f>
        <v>45285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"/>
  <sheetViews>
    <sheetView workbookViewId="0">
      <selection activeCell="D7" sqref="D7"/>
    </sheetView>
  </sheetViews>
  <sheetFormatPr defaultRowHeight="15"/>
  <cols>
    <col min="1" max="1" width="19.85546875" bestFit="1" customWidth="1"/>
    <col min="2" max="2" width="20.42578125" bestFit="1" customWidth="1"/>
    <col min="3" max="3" width="12.42578125" bestFit="1" customWidth="1"/>
    <col min="4" max="4" width="13.7109375" bestFit="1" customWidth="1"/>
    <col min="5" max="5" width="15.140625" bestFit="1" customWidth="1"/>
    <col min="6" max="6" width="31" bestFit="1" customWidth="1"/>
    <col min="7" max="7" width="14.7109375" bestFit="1" customWidth="1"/>
  </cols>
  <sheetData>
    <row r="1" spans="1:8">
      <c r="A1" t="s">
        <v>33</v>
      </c>
      <c r="B1" t="s">
        <v>37</v>
      </c>
      <c r="C1" t="s">
        <v>36</v>
      </c>
      <c r="D1" t="s">
        <v>40</v>
      </c>
      <c r="G1" t="s">
        <v>73</v>
      </c>
      <c r="H1" t="s">
        <v>74</v>
      </c>
    </row>
    <row r="2" spans="1:8">
      <c r="A2" t="s">
        <v>34</v>
      </c>
      <c r="B2" t="s">
        <v>35</v>
      </c>
      <c r="E2" t="s">
        <v>79</v>
      </c>
    </row>
    <row r="3" spans="1:8">
      <c r="E3" t="s">
        <v>80</v>
      </c>
    </row>
    <row r="4" spans="1:8">
      <c r="A4" t="s">
        <v>41</v>
      </c>
      <c r="B4" t="s">
        <v>38</v>
      </c>
      <c r="C4" t="s">
        <v>39</v>
      </c>
      <c r="D4" t="s">
        <v>36</v>
      </c>
      <c r="F4" s="10" t="s">
        <v>69</v>
      </c>
    </row>
    <row r="5" spans="1:8">
      <c r="A5" t="s">
        <v>42</v>
      </c>
      <c r="B5" t="s">
        <v>56</v>
      </c>
      <c r="E5" t="s">
        <v>81</v>
      </c>
    </row>
    <row r="6" spans="1:8">
      <c r="E6" t="s">
        <v>82</v>
      </c>
    </row>
    <row r="7" spans="1:8">
      <c r="E7" t="s">
        <v>107</v>
      </c>
    </row>
    <row r="8" spans="1:8">
      <c r="A8" t="s">
        <v>108</v>
      </c>
      <c r="B8" s="16" t="s">
        <v>110</v>
      </c>
      <c r="C8" t="s">
        <v>112</v>
      </c>
      <c r="D8" t="s">
        <v>58</v>
      </c>
      <c r="E8" t="s">
        <v>111</v>
      </c>
      <c r="F8" s="10" t="s">
        <v>109</v>
      </c>
    </row>
    <row r="9" spans="1:8">
      <c r="A9" t="s">
        <v>43</v>
      </c>
      <c r="B9" t="s">
        <v>53</v>
      </c>
    </row>
    <row r="10" spans="1:8">
      <c r="A10" t="s">
        <v>54</v>
      </c>
      <c r="B10" t="s">
        <v>55</v>
      </c>
    </row>
    <row r="11" spans="1:8">
      <c r="A11" t="s">
        <v>45</v>
      </c>
      <c r="B11" t="s">
        <v>68</v>
      </c>
      <c r="C11" t="s">
        <v>46</v>
      </c>
      <c r="D11" t="s">
        <v>36</v>
      </c>
      <c r="E11" t="s">
        <v>62</v>
      </c>
    </row>
    <row r="12" spans="1:8">
      <c r="A12" t="s">
        <v>47</v>
      </c>
      <c r="B12" t="s">
        <v>52</v>
      </c>
      <c r="E12" t="s">
        <v>48</v>
      </c>
    </row>
    <row r="13" spans="1:8">
      <c r="A13" t="s">
        <v>49</v>
      </c>
      <c r="B13" t="s">
        <v>50</v>
      </c>
      <c r="E13" t="s">
        <v>51</v>
      </c>
    </row>
    <row r="14" spans="1:8">
      <c r="A14" t="s">
        <v>57</v>
      </c>
      <c r="B14" t="s">
        <v>61</v>
      </c>
      <c r="D14" t="s">
        <v>58</v>
      </c>
      <c r="E14" t="s">
        <v>59</v>
      </c>
      <c r="F14" s="10" t="s">
        <v>60</v>
      </c>
    </row>
    <row r="15" spans="1:8">
      <c r="A15" t="s">
        <v>63</v>
      </c>
      <c r="B15" t="s">
        <v>67</v>
      </c>
      <c r="C15" t="s">
        <v>64</v>
      </c>
      <c r="D15" t="s">
        <v>65</v>
      </c>
      <c r="E15" t="s">
        <v>66</v>
      </c>
      <c r="G15" t="s">
        <v>76</v>
      </c>
      <c r="H15" t="s">
        <v>75</v>
      </c>
    </row>
    <row r="16" spans="1:8">
      <c r="A16" t="s">
        <v>83</v>
      </c>
      <c r="B16" t="s">
        <v>84</v>
      </c>
      <c r="D16" t="s">
        <v>65</v>
      </c>
      <c r="F16" t="s">
        <v>86</v>
      </c>
    </row>
    <row r="17" spans="1:9">
      <c r="A17" t="s">
        <v>85</v>
      </c>
      <c r="B17" t="s">
        <v>84</v>
      </c>
    </row>
    <row r="18" spans="1:9">
      <c r="A18" t="s">
        <v>87</v>
      </c>
      <c r="B18" s="11" t="s">
        <v>91</v>
      </c>
      <c r="D18" t="s">
        <v>58</v>
      </c>
      <c r="E18" t="s">
        <v>89</v>
      </c>
      <c r="F18" s="10" t="s">
        <v>90</v>
      </c>
    </row>
    <row r="19" spans="1:9">
      <c r="B19" t="s">
        <v>88</v>
      </c>
    </row>
    <row r="20" spans="1:9">
      <c r="A20" t="s">
        <v>99</v>
      </c>
      <c r="B20" t="s">
        <v>100</v>
      </c>
      <c r="C20" t="s">
        <v>101</v>
      </c>
      <c r="D20" t="s">
        <v>36</v>
      </c>
      <c r="F20" s="10" t="s">
        <v>102</v>
      </c>
      <c r="I20" t="s">
        <v>103</v>
      </c>
    </row>
  </sheetData>
  <hyperlinks>
    <hyperlink ref="F14" r:id="rId1"/>
    <hyperlink ref="F4" r:id="rId2"/>
    <hyperlink ref="F18" r:id="rId3"/>
    <hyperlink ref="F20" r:id="rId4"/>
    <hyperlink ref="F8" r:id="rId5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les"/>
  <dimension ref="A1:C41"/>
  <sheetViews>
    <sheetView topLeftCell="A10" workbookViewId="0">
      <selection activeCell="B39" sqref="B39"/>
    </sheetView>
  </sheetViews>
  <sheetFormatPr defaultRowHeight="15"/>
  <cols>
    <col min="1" max="1" width="39.85546875" bestFit="1" customWidth="1"/>
    <col min="2" max="2" width="66.7109375" bestFit="1" customWidth="1"/>
  </cols>
  <sheetData>
    <row r="1" spans="1:3">
      <c r="A1" s="32" t="s">
        <v>198</v>
      </c>
      <c r="C1" s="32"/>
    </row>
    <row r="2" spans="1:3">
      <c r="A2" s="32" t="s">
        <v>163</v>
      </c>
      <c r="C2" s="32"/>
    </row>
    <row r="3" spans="1:3">
      <c r="A3" s="32" t="s">
        <v>164</v>
      </c>
      <c r="C3" s="32"/>
    </row>
    <row r="4" spans="1:3">
      <c r="A4" s="32" t="s">
        <v>165</v>
      </c>
      <c r="C4" s="32"/>
    </row>
    <row r="5" spans="1:3">
      <c r="A5" s="32" t="s">
        <v>200</v>
      </c>
      <c r="C5" s="32"/>
    </row>
    <row r="6" spans="1:3">
      <c r="A6" s="32" t="s">
        <v>197</v>
      </c>
      <c r="C6" s="32"/>
    </row>
    <row r="7" spans="1:3">
      <c r="A7" s="32" t="s">
        <v>166</v>
      </c>
      <c r="C7" s="32"/>
    </row>
    <row r="8" spans="1:3">
      <c r="A8" s="32" t="s">
        <v>195</v>
      </c>
      <c r="C8" s="32"/>
    </row>
    <row r="9" spans="1:3">
      <c r="A9" s="32" t="s">
        <v>201</v>
      </c>
      <c r="C9" s="32"/>
    </row>
    <row r="10" spans="1:3">
      <c r="A10" s="32" t="s">
        <v>238</v>
      </c>
      <c r="C10" s="32"/>
    </row>
    <row r="11" spans="1:3">
      <c r="A11" s="32" t="s">
        <v>237</v>
      </c>
      <c r="C11" s="32"/>
    </row>
    <row r="12" spans="1:3">
      <c r="A12" s="32" t="s">
        <v>202</v>
      </c>
      <c r="C12" s="32"/>
    </row>
    <row r="13" spans="1:3">
      <c r="A13" s="32" t="s">
        <v>167</v>
      </c>
    </row>
    <row r="14" spans="1:3">
      <c r="A14" s="32" t="s">
        <v>196</v>
      </c>
    </row>
    <row r="15" spans="1:3">
      <c r="A15" s="32" t="s">
        <v>203</v>
      </c>
    </row>
    <row r="16" spans="1:3">
      <c r="A16" t="s">
        <v>168</v>
      </c>
      <c r="B16" t="s">
        <v>194</v>
      </c>
    </row>
    <row r="17" spans="1:2">
      <c r="A17" t="s">
        <v>169</v>
      </c>
      <c r="B17" s="29" t="s">
        <v>452</v>
      </c>
    </row>
    <row r="18" spans="1:2">
      <c r="A18" t="s">
        <v>206</v>
      </c>
      <c r="B18" t="b">
        <v>1</v>
      </c>
    </row>
    <row r="19" spans="1:2">
      <c r="A19" t="s">
        <v>170</v>
      </c>
      <c r="B19" s="10" t="s">
        <v>394</v>
      </c>
    </row>
    <row r="20" spans="1:2">
      <c r="A20" t="s">
        <v>171</v>
      </c>
      <c r="B20" t="s">
        <v>442</v>
      </c>
    </row>
    <row r="21" spans="1:2">
      <c r="A21" t="s">
        <v>172</v>
      </c>
      <c r="B21" t="s">
        <v>194</v>
      </c>
    </row>
    <row r="22" spans="1:2">
      <c r="A22" t="s">
        <v>173</v>
      </c>
      <c r="B22" s="30" t="s">
        <v>194</v>
      </c>
    </row>
    <row r="23" spans="1:2">
      <c r="A23" t="s">
        <v>174</v>
      </c>
      <c r="B23" t="s">
        <v>194</v>
      </c>
    </row>
    <row r="24" spans="1:2">
      <c r="A24" t="s">
        <v>175</v>
      </c>
      <c r="B24" t="s">
        <v>194</v>
      </c>
    </row>
    <row r="25" spans="1:2">
      <c r="A25" t="s">
        <v>176</v>
      </c>
      <c r="B25" s="10" t="s">
        <v>443</v>
      </c>
    </row>
    <row r="26" spans="1:2">
      <c r="A26" t="s">
        <v>177</v>
      </c>
      <c r="B26" t="s">
        <v>189</v>
      </c>
    </row>
    <row r="27" spans="1:2">
      <c r="A27" t="s">
        <v>178</v>
      </c>
      <c r="B27" t="s">
        <v>194</v>
      </c>
    </row>
    <row r="28" spans="1:2">
      <c r="A28" t="s">
        <v>193</v>
      </c>
      <c r="B28" t="b">
        <v>0</v>
      </c>
    </row>
    <row r="29" spans="1:2">
      <c r="A29" t="s">
        <v>204</v>
      </c>
    </row>
    <row r="30" spans="1:2">
      <c r="A30" t="s">
        <v>207</v>
      </c>
      <c r="B30" t="b">
        <v>1</v>
      </c>
    </row>
    <row r="31" spans="1:2">
      <c r="A31" t="s">
        <v>208</v>
      </c>
      <c r="B31" t="b">
        <v>1</v>
      </c>
    </row>
    <row r="32" spans="1:2">
      <c r="A32" t="s">
        <v>236</v>
      </c>
    </row>
    <row r="33" spans="1:2">
      <c r="A33" t="s">
        <v>445</v>
      </c>
      <c r="B33" t="s">
        <v>444</v>
      </c>
    </row>
    <row r="34" spans="1:2">
      <c r="A34" t="s">
        <v>451</v>
      </c>
    </row>
    <row r="35" spans="1:2">
      <c r="A35" t="s">
        <v>446</v>
      </c>
      <c r="B35" t="s">
        <v>460</v>
      </c>
    </row>
    <row r="36" spans="1:2">
      <c r="A36" t="s">
        <v>447</v>
      </c>
      <c r="B36" s="58" t="s">
        <v>449</v>
      </c>
    </row>
    <row r="37" spans="1:2">
      <c r="A37" t="s">
        <v>448</v>
      </c>
      <c r="B37" t="b">
        <v>0</v>
      </c>
    </row>
    <row r="38" spans="1:2">
      <c r="A38" t="s">
        <v>450</v>
      </c>
      <c r="B38" t="s">
        <v>449</v>
      </c>
    </row>
    <row r="39" spans="1:2">
      <c r="A39" t="s">
        <v>457</v>
      </c>
      <c r="B39" t="s">
        <v>461</v>
      </c>
    </row>
    <row r="40" spans="1:2">
      <c r="A40" t="s">
        <v>458</v>
      </c>
      <c r="B40" t="b">
        <v>1</v>
      </c>
    </row>
    <row r="41" spans="1:2">
      <c r="A41" t="s">
        <v>459</v>
      </c>
      <c r="B41" t="b">
        <v>1</v>
      </c>
    </row>
  </sheetData>
  <sheetProtection sheet="1" objects="1" scenarios="1"/>
  <hyperlinks>
    <hyperlink ref="B19" r:id="rId1"/>
  </hyperlinks>
  <pageMargins left="0.7" right="0.7" top="0.75" bottom="0.75" header="0.3" footer="0.3"/>
  <pageSetup orientation="landscape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elling">
    <pageSetUpPr fitToPage="1"/>
  </sheetPr>
  <dimension ref="A1:I8"/>
  <sheetViews>
    <sheetView workbookViewId="0">
      <selection activeCell="B7" sqref="B7:D8"/>
    </sheetView>
  </sheetViews>
  <sheetFormatPr defaultRowHeight="15"/>
  <cols>
    <col min="1" max="1" width="16.28515625" bestFit="1" customWidth="1"/>
    <col min="2" max="2" width="12.85546875" customWidth="1"/>
    <col min="3" max="3" width="13.140625" customWidth="1"/>
    <col min="4" max="4" width="74.5703125" customWidth="1"/>
  </cols>
  <sheetData>
    <row r="1" spans="1:9" ht="15.75">
      <c r="A1" s="40"/>
      <c r="G1" s="64"/>
      <c r="H1" s="65"/>
      <c r="I1" s="66"/>
    </row>
    <row r="2" spans="1:9" ht="15.75">
      <c r="A2" s="52"/>
      <c r="B2" s="52"/>
      <c r="C2" s="52"/>
      <c r="D2" s="52"/>
      <c r="E2" s="52"/>
      <c r="G2" s="62"/>
      <c r="H2" s="63"/>
      <c r="I2" s="67"/>
    </row>
    <row r="3" spans="1:9" s="32" customFormat="1" ht="15.75">
      <c r="A3" s="69"/>
      <c r="B3" s="70"/>
      <c r="C3" s="71"/>
      <c r="D3" s="72"/>
      <c r="E3" s="73"/>
    </row>
    <row r="4" spans="1:9" s="32" customFormat="1" ht="15.75">
      <c r="A4" s="69"/>
      <c r="B4" s="70"/>
      <c r="C4" s="71"/>
      <c r="D4" s="73"/>
      <c r="E4" s="73"/>
    </row>
    <row r="5" spans="1:9" s="32" customFormat="1"/>
    <row r="6" spans="1:9" ht="15.75">
      <c r="A6" s="68" t="s">
        <v>44</v>
      </c>
      <c r="B6" s="59" t="s">
        <v>20</v>
      </c>
      <c r="C6" s="60" t="s">
        <v>21</v>
      </c>
      <c r="D6" s="61" t="s">
        <v>30</v>
      </c>
    </row>
    <row r="7" spans="1:9" ht="15.75">
      <c r="B7" s="64"/>
      <c r="C7" s="65"/>
      <c r="D7" s="66"/>
    </row>
    <row r="8" spans="1:9" ht="15.75">
      <c r="B8" s="62"/>
      <c r="C8" s="63"/>
      <c r="D8" s="67"/>
    </row>
  </sheetData>
  <conditionalFormatting sqref="D3">
    <cfRule type="containsText" dxfId="4" priority="6" operator="containsText" text="Received and reviewed supplemental">
      <formula>NOT(ISERROR(SEARCH("Received and reviewed supplemental",D3)))</formula>
    </cfRule>
  </conditionalFormatting>
  <conditionalFormatting sqref="C3:C4">
    <cfRule type="containsText" dxfId="3" priority="5" operator="containsText" text="Received and reviewed supplemental">
      <formula>NOT(ISERROR(SEARCH("Received and reviewed supplemental",C3)))</formula>
    </cfRule>
  </conditionalFormatting>
  <conditionalFormatting sqref="D6">
    <cfRule type="containsText" dxfId="2" priority="4" operator="containsText" text="Received and reviewed supplemental">
      <formula>NOT(ISERROR(SEARCH("Received and reviewed supplemental",D6)))</formula>
    </cfRule>
  </conditionalFormatting>
  <conditionalFormatting sqref="I1:I2">
    <cfRule type="containsText" dxfId="1" priority="3" operator="containsText" text="Received and reviewed supplemental">
      <formula>NOT(ISERROR(SEARCH("Received and reviewed supplemental",I1)))</formula>
    </cfRule>
  </conditionalFormatting>
  <conditionalFormatting sqref="D7:D8">
    <cfRule type="containsText" dxfId="0" priority="1" operator="containsText" text="Received and reviewed supplemental">
      <formula>NOT(ISERROR(SEARCH("Received and reviewed supplemental",D7)))</formula>
    </cfRule>
  </conditionalFormatting>
  <dataValidations count="2">
    <dataValidation type="time" allowBlank="1" showInputMessage="1" showErrorMessage="1" sqref="B3:B4 H1:H2 C6:C8">
      <formula1>0</formula1>
      <formula2>0.999305555555556</formula2>
    </dataValidation>
    <dataValidation type="list" allowBlank="1" showDropDown="1" showInputMessage="1" showErrorMessage="1" sqref="A6">
      <formula1>Cases</formula1>
    </dataValidation>
  </dataValidations>
  <pageMargins left="0.7" right="0.7" top="0.75" bottom="0.75" header="0.3" footer="0.3"/>
  <pageSetup scale="22" orientation="landscape" r:id="rId1"/>
  <headerFooter>
    <oddHeader>&amp;C&amp;16 &amp;bAction Log Draft for Jacobs, Julie&amp;RPrinted: 9/14/2016&amp;L&amp;12 &amp;b16FE747474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InvestigationLog</vt:lpstr>
      <vt:lpstr>CaseLogs</vt:lpstr>
      <vt:lpstr>WitnessLog</vt:lpstr>
      <vt:lpstr>IOD</vt:lpstr>
      <vt:lpstr>MileageLog</vt:lpstr>
      <vt:lpstr>Attorneys</vt:lpstr>
      <vt:lpstr>Holidays</vt:lpstr>
      <vt:lpstr>Subpoena Service</vt:lpstr>
      <vt:lpstr>Files</vt:lpstr>
      <vt:lpstr>Spelling</vt:lpstr>
      <vt:lpstr>CaseLogTable</vt:lpstr>
      <vt:lpstr>InvestigationLog</vt:lpstr>
      <vt:lpstr>CaseLogs!Print_Area</vt:lpstr>
      <vt:lpstr>Spelling!Print_Area</vt:lpstr>
      <vt:lpstr>WitnessLog!Print_Area</vt:lpstr>
      <vt:lpstr>CaseLogs!Print_Titles</vt:lpstr>
      <vt:lpstr>Spelling!Print_Titles</vt:lpstr>
      <vt:lpstr>WitnessLog!Print_Titles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Gould. Darryl</dc:creator>
  <cp:lastModifiedBy>Mouzis. Christopher</cp:lastModifiedBy>
  <cp:lastPrinted>2016-10-14T18:28:20Z</cp:lastPrinted>
  <dcterms:created xsi:type="dcterms:W3CDTF">2014-01-10T15:54:37Z</dcterms:created>
  <dcterms:modified xsi:type="dcterms:W3CDTF">2023-04-21T20:19:15Z</dcterms:modified>
</cp:coreProperties>
</file>